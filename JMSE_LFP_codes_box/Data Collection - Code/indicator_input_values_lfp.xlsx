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RPA-E\MSEC_2026\LFP\"/>
    </mc:Choice>
  </mc:AlternateContent>
  <xr:revisionPtr revIDLastSave="0" documentId="13_ncr:1_{9073F3DA-C4EC-4A11-8BC7-008539C1B12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CPI_indicator_corrected" sheetId="10" r:id="rId1"/>
    <sheet name="ECPI_indicator" sheetId="1" r:id="rId2"/>
    <sheet name="CEI_inputs" sheetId="2" r:id="rId3"/>
    <sheet name="PCI_inputs" sheetId="3" r:id="rId4"/>
    <sheet name="CI_inputs" sheetId="4" r:id="rId5"/>
    <sheet name="MRE_indicator" sheetId="5" r:id="rId6"/>
    <sheet name="Hydro_vs_Solid" sheetId="6" r:id="rId7"/>
    <sheet name="CI_solid" sheetId="7" r:id="rId8"/>
    <sheet name="ECPI_solid" sheetId="8" r:id="rId9"/>
    <sheet name="MRE_indicator_solid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0" l="1"/>
  <c r="Q13" i="10"/>
  <c r="R8" i="10"/>
  <c r="S8" i="10"/>
  <c r="R7" i="10"/>
  <c r="R6" i="10"/>
  <c r="R5" i="10"/>
  <c r="T123" i="10"/>
  <c r="U86" i="10"/>
  <c r="T86" i="10"/>
  <c r="S86" i="10"/>
  <c r="AA47" i="10"/>
  <c r="Z47" i="10"/>
  <c r="Y47" i="10"/>
  <c r="X47" i="10"/>
  <c r="W47" i="10"/>
  <c r="V47" i="10"/>
  <c r="S45" i="10"/>
  <c r="R45" i="10"/>
  <c r="Q45" i="10"/>
  <c r="P45" i="10"/>
  <c r="O45" i="10"/>
  <c r="N45" i="10"/>
  <c r="M45" i="10"/>
  <c r="F42" i="10"/>
  <c r="F41" i="10"/>
  <c r="F24" i="10"/>
  <c r="F19" i="10"/>
  <c r="G18" i="10"/>
  <c r="G10" i="10"/>
  <c r="Q8" i="10"/>
  <c r="P8" i="10"/>
  <c r="Q7" i="10"/>
  <c r="P7" i="10"/>
  <c r="P6" i="10"/>
  <c r="P5" i="10"/>
  <c r="G5" i="10"/>
  <c r="P8" i="1"/>
  <c r="P7" i="1"/>
  <c r="J25" i="5"/>
  <c r="J24" i="5"/>
  <c r="U61" i="4"/>
  <c r="T61" i="4"/>
  <c r="S61" i="4"/>
  <c r="P58" i="4"/>
  <c r="O58" i="4"/>
  <c r="N58" i="4"/>
  <c r="M58" i="4"/>
  <c r="L58" i="4"/>
  <c r="K58" i="4"/>
  <c r="J58" i="4"/>
  <c r="Q123" i="1"/>
  <c r="R86" i="1"/>
  <c r="Q86" i="1"/>
  <c r="P86" i="1"/>
  <c r="X47" i="1"/>
  <c r="W47" i="1"/>
  <c r="V47" i="1"/>
  <c r="U47" i="1"/>
  <c r="T47" i="1"/>
  <c r="S47" i="1"/>
  <c r="Q45" i="1"/>
  <c r="P45" i="1"/>
  <c r="O45" i="1"/>
  <c r="N45" i="1"/>
  <c r="M45" i="1"/>
  <c r="L45" i="1"/>
  <c r="K45" i="1"/>
  <c r="F42" i="1"/>
  <c r="F41" i="1"/>
  <c r="F24" i="1"/>
  <c r="F19" i="1"/>
  <c r="G18" i="1"/>
  <c r="G10" i="1"/>
  <c r="N8" i="1"/>
  <c r="O7" i="1"/>
  <c r="N7" i="1"/>
  <c r="O6" i="1"/>
  <c r="N6" i="1"/>
  <c r="N5" i="1"/>
  <c r="G5" i="1"/>
  <c r="R11" i="10" l="1"/>
  <c r="H5" i="10"/>
  <c r="R46" i="10"/>
  <c r="O46" i="10"/>
  <c r="U6" i="10"/>
  <c r="Q6" i="10"/>
  <c r="U5" i="10"/>
  <c r="G42" i="10"/>
  <c r="F25" i="10" s="1"/>
  <c r="G19" i="10"/>
  <c r="F6" i="10" s="1"/>
  <c r="G6" i="10" s="1"/>
  <c r="H6" i="10" s="1"/>
  <c r="U7" i="10"/>
  <c r="S46" i="10"/>
  <c r="N46" i="10"/>
  <c r="P46" i="10"/>
  <c r="Q46" i="10"/>
  <c r="M46" i="10"/>
  <c r="U8" i="10"/>
  <c r="J26" i="5"/>
  <c r="L46" i="1"/>
  <c r="R8" i="1"/>
  <c r="O8" i="1"/>
  <c r="R7" i="1"/>
  <c r="R6" i="1"/>
  <c r="R5" i="1"/>
  <c r="N46" i="1"/>
  <c r="G19" i="1"/>
  <c r="F6" i="1" s="1"/>
  <c r="G6" i="1" s="1"/>
  <c r="P46" i="1"/>
  <c r="G42" i="1"/>
  <c r="F25" i="1" s="1"/>
  <c r="Q46" i="1"/>
  <c r="K46" i="1"/>
  <c r="O5" i="1" s="1"/>
  <c r="O46" i="1"/>
  <c r="M46" i="1"/>
  <c r="F26" i="10" l="1"/>
  <c r="Q9" i="10"/>
  <c r="G4" i="10"/>
  <c r="H4" i="10" s="1"/>
  <c r="C24" i="10"/>
  <c r="G9" i="10" s="1"/>
  <c r="I9" i="10" s="1"/>
  <c r="Q10" i="10"/>
  <c r="P10" i="1"/>
  <c r="O10" i="1"/>
  <c r="G4" i="1"/>
  <c r="C24" i="1"/>
  <c r="G9" i="1" s="1"/>
  <c r="H9" i="1" s="1"/>
  <c r="O9" i="1"/>
  <c r="O12" i="1" s="1"/>
  <c r="P9" i="1"/>
  <c r="F26" i="1"/>
  <c r="H8" i="10" l="1"/>
  <c r="J4" i="10"/>
  <c r="S7" i="10" s="1"/>
  <c r="G8" i="10"/>
  <c r="Q12" i="10"/>
  <c r="G8" i="1"/>
  <c r="J6" i="10" l="1"/>
  <c r="S5" i="10" s="1"/>
  <c r="S11" i="10" s="1"/>
  <c r="J5" i="10"/>
  <c r="S6" i="10" s="1"/>
  <c r="I5" i="10"/>
  <c r="I6" i="10"/>
  <c r="I4" i="10"/>
  <c r="H5" i="1"/>
  <c r="P6" i="1" s="1"/>
  <c r="H6" i="1"/>
  <c r="P5" i="1" s="1"/>
  <c r="P11" i="1" s="1"/>
  <c r="H4" i="1"/>
</calcChain>
</file>

<file path=xl/sharedStrings.xml><?xml version="1.0" encoding="utf-8"?>
<sst xmlns="http://schemas.openxmlformats.org/spreadsheetml/2006/main" count="1906" uniqueCount="580">
  <si>
    <t>ECPI inputs — LFP SOLID-STATE route</t>
  </si>
  <si>
    <t>LFP SOLID-STATE ECPI (differentiated). Lithium carrier = Li2CO3 (recipe 0.23419 ton/ton, virgin GHG 11.84077363 kg CO2e/kg, AR6 GWP100 basis consistent with the LiOH 22.677 anchor) instead of LiOH; cathode Fe/P precursors = Fe3O4 + DAP instead of FeSO4 + H3PO4. LINEAR (virgin) emissions therefore DIFFER from the Hydrothermal sheet. The hydrometallurgical cell-recycling allocation is route-independent (recycling is hydromet for both routes).</t>
  </si>
  <si>
    <t>material</t>
  </si>
  <si>
    <t>m_in_virgin</t>
  </si>
  <si>
    <t>m_in_circular</t>
  </si>
  <si>
    <t>m_out_linear</t>
  </si>
  <si>
    <t>m_out_circular</t>
  </si>
  <si>
    <t>Li2CO3</t>
  </si>
  <si>
    <t>copper</t>
  </si>
  <si>
    <t>aluminium</t>
  </si>
  <si>
    <t>steel</t>
  </si>
  <si>
    <t>Fe3O4</t>
  </si>
  <si>
    <t>DAP</t>
  </si>
  <si>
    <t>LCA_emissions_circular</t>
  </si>
  <si>
    <t>LCA_emissions_linear</t>
  </si>
  <si>
    <t>Solid-state cathode (GREET): synthesis 4.97 mmBtu/ton, 0.277 t CO2/ton; recipe Li2CO3 0.23419 + Fe3O4 0.48922 + DAP 0.83708 (ton/ton LiFePO4).</t>
  </si>
  <si>
    <t>2.3) Li-Ion Battery  -  LFP (LiFePO4)</t>
  </si>
  <si>
    <t>Weight by Materials per battery</t>
  </si>
  <si>
    <t>Material masses (kg)</t>
  </si>
  <si>
    <t>Component</t>
  </si>
  <si>
    <t>lb</t>
  </si>
  <si>
    <t>kg</t>
  </si>
  <si>
    <t>M [material]</t>
  </si>
  <si>
    <t>mass available in cell</t>
  </si>
  <si>
    <t>ghg kgco2/kg</t>
  </si>
  <si>
    <t>Indicator parameters</t>
  </si>
  <si>
    <t>Active Material</t>
  </si>
  <si>
    <t>M [aluminium]</t>
  </si>
  <si>
    <t>ghg_virgin</t>
  </si>
  <si>
    <t>ghg_recycled</t>
  </si>
  <si>
    <t>Reference</t>
  </si>
  <si>
    <t>Graphite/Carbon</t>
  </si>
  <si>
    <t>M [copper]</t>
  </si>
  <si>
    <t>LiOH</t>
  </si>
  <si>
    <t>[3] GREET cathode LiOH (AR6 GWP); recycled=GREET Battery Recycling sec.2 Li2CO3 (mass alloc) /0.648</t>
  </si>
  <si>
    <t>iron price_virgin_usd_per_kg =1 dollar not o.5 for cei [Pasted text #5 +32 lines] added this to</t>
  </si>
  <si>
    <t>Binder</t>
  </si>
  <si>
    <t>M[LiOH]</t>
  </si>
  <si>
    <t>[4] GREET 4.3 Li-Ion</t>
  </si>
  <si>
    <t xml:space="preserve">  indicator input values lfp excel - dont remove. I feel ECPI is incorrect. I have saved some ECPI</t>
  </si>
  <si>
    <t>Copper</t>
  </si>
  <si>
    <t xml:space="preserve">  input values in indicatiorinput values. remove graphite, lets just look at liogh or li2co3 instead</t>
  </si>
  <si>
    <t>Aluminum Sheet (Automotive)</t>
  </si>
  <si>
    <t>Raw materials from cell recyled</t>
  </si>
  <si>
    <t xml:space="preserve">  of active lfp. because we wont get entirety of it recylced. now how do we account for the amount</t>
  </si>
  <si>
    <t>Electrolyte: LiPF6</t>
  </si>
  <si>
    <t>Total Cell Weight</t>
  </si>
  <si>
    <t>FeSO4</t>
  </si>
  <si>
    <t xml:space="preserve">  of lioh if li2co3 is producesd after recyling</t>
  </si>
  <si>
    <t>Electrolyte: Ethylene Carbonate</t>
  </si>
  <si>
    <t>LiFePO4 decomposition</t>
  </si>
  <si>
    <t>H3PO4</t>
  </si>
  <si>
    <t>recycled-route GHG (LiOH 4.39, steel 0.648, Al 2.355, Cu 0.50)</t>
  </si>
  <si>
    <t>Electrolyte: Dimethyl Carbonate</t>
  </si>
  <si>
    <t>Element</t>
  </si>
  <si>
    <t>Mass fraction</t>
  </si>
  <si>
    <t>% by mass</t>
  </si>
  <si>
    <t>virgin GHG (LiOH 22.68, Al 14.37, Cu 3.86, steel 2.97)</t>
  </si>
  <si>
    <t>Plastic: Polypropylene</t>
  </si>
  <si>
    <t>Li</t>
  </si>
  <si>
    <t>Plastic: Polyethylene</t>
  </si>
  <si>
    <t>Fe</t>
  </si>
  <si>
    <t>Plastic: Polymer</t>
  </si>
  <si>
    <t>P</t>
  </si>
  <si>
    <t>Plastic: Polyethylene Terephthalate</t>
  </si>
  <si>
    <t>O</t>
  </si>
  <si>
    <t>5) Energy Consumption, Water Consumption, and Emissions from Material Production for Other Cathodes</t>
  </si>
  <si>
    <t>Steel</t>
  </si>
  <si>
    <t>Molecular weight LiFePO4</t>
  </si>
  <si>
    <t>Lithium Hydoxide (LiOH)</t>
  </si>
  <si>
    <t>Phosphoric Acid (H3PO4)</t>
  </si>
  <si>
    <t>Iron Sulfate (FeSO4)</t>
  </si>
  <si>
    <t>Iron Oxide (Fe3O4)</t>
  </si>
  <si>
    <t>Diammonium Phosphate</t>
  </si>
  <si>
    <t>Graphite</t>
  </si>
  <si>
    <t>Lithium Carbonate (Li2CO3)</t>
  </si>
  <si>
    <t>Virgin Aluminum Sheet (Automotive)</t>
  </si>
  <si>
    <t>Virgin Steel</t>
  </si>
  <si>
    <t>Recycled Steel</t>
  </si>
  <si>
    <t>Recycled Aluminum Sheet (Automotive)</t>
  </si>
  <si>
    <t>Stainless Steel</t>
  </si>
  <si>
    <t>Energy Use: mmBtu per ton of material product</t>
  </si>
  <si>
    <t>Energy Use: mmBtu per lb of material product</t>
  </si>
  <si>
    <t>per lb</t>
  </si>
  <si>
    <t>Ceramic</t>
  </si>
  <si>
    <t xml:space="preserve">     Total energy</t>
  </si>
  <si>
    <t>Thermal Insulation</t>
  </si>
  <si>
    <t xml:space="preserve">Li in Lioh </t>
  </si>
  <si>
    <t xml:space="preserve">     Fossil fuels</t>
  </si>
  <si>
    <t>Coolant: Glycol</t>
  </si>
  <si>
    <t xml:space="preserve">     Coal</t>
  </si>
  <si>
    <t>Electronic Parts</t>
  </si>
  <si>
    <t xml:space="preserve">     Natural gas</t>
  </si>
  <si>
    <t>Total</t>
  </si>
  <si>
    <t xml:space="preserve">     Petroleum</t>
  </si>
  <si>
    <t>Water consumption (gal/ton)</t>
  </si>
  <si>
    <t>Water consumption</t>
  </si>
  <si>
    <t>cell Weight</t>
  </si>
  <si>
    <t>Total Aluminum</t>
  </si>
  <si>
    <t>Total Emissions: g/ton of material product</t>
  </si>
  <si>
    <t>Total Emissions: grams</t>
  </si>
  <si>
    <t>Aluminum that can be recycled (module + pack)</t>
  </si>
  <si>
    <t xml:space="preserve">     VOC</t>
  </si>
  <si>
    <t>References / Sources</t>
  </si>
  <si>
    <t>Cell level</t>
  </si>
  <si>
    <t xml:space="preserve">     CO</t>
  </si>
  <si>
    <t>[1] GREET 2024 Rev1 - Battery_Sum sec.7 (composition %, EV 300-mile, LFP)</t>
  </si>
  <si>
    <t xml:space="preserve">     NOx </t>
  </si>
  <si>
    <t>[2] GREET 2024 Rev1 - Battery_Sum sec.8 (specific energy LFP 142.89 Wh/kg)</t>
  </si>
  <si>
    <t xml:space="preserve">     PM10</t>
  </si>
  <si>
    <t>[3] GREET 2024 Rev1 - Battery_Sum sec.9.2/9.4 + Other_Cathodes (cathode recipe, energy, GHG)</t>
  </si>
  <si>
    <t xml:space="preserve">     PM2.5</t>
  </si>
  <si>
    <t>[4] GREET 2024 Rev1 - sec.4.3 Li-Ion (per-material energy mmBtu/lb, GHG g/lb)</t>
  </si>
  <si>
    <t xml:space="preserve">     SOx</t>
  </si>
  <si>
    <t>[5] Pack basis: constant pack energy ~86.6 kWh (NMC811 ref x 197.69/142.89)</t>
  </si>
  <si>
    <t xml:space="preserve">     BC</t>
  </si>
  <si>
    <t>[6] Prices: Price Analysis doc (Virgin vs Recycled) + USGS MCS 2024/25 + EverBatt</t>
  </si>
  <si>
    <t xml:space="preserve">     OC</t>
  </si>
  <si>
    <t>[7] Recovery: GREET Battery Recycling + FHanna 2025 (EST) + Argonne EverBatt</t>
  </si>
  <si>
    <t xml:space="preserve">     CH4</t>
  </si>
  <si>
    <t>[8] Iron &amp; Phosphorus: literature estimates (FePO4 co-recovery) - FLAGGED for revision</t>
  </si>
  <si>
    <t xml:space="preserve">     N2O</t>
  </si>
  <si>
    <t xml:space="preserve">     CO2</t>
  </si>
  <si>
    <t>Urban Emissions: g/ton of material product</t>
  </si>
  <si>
    <t xml:space="preserve">     CO2 (VOC, CO, CO2)</t>
  </si>
  <si>
    <t xml:space="preserve">     GHGs</t>
  </si>
  <si>
    <t>Urban Emissions: grams</t>
  </si>
  <si>
    <t>O Winjobi 2020</t>
  </si>
  <si>
    <t xml:space="preserve">     NOx</t>
  </si>
  <si>
    <t>Section</t>
  </si>
  <si>
    <t>Item</t>
  </si>
  <si>
    <t>BEV_LFP</t>
  </si>
  <si>
    <t>LFP</t>
  </si>
  <si>
    <t>Cell components (kg)</t>
  </si>
  <si>
    <t>Active cathode material</t>
  </si>
  <si>
    <t xml:space="preserve">Total Aluminum </t>
  </si>
  <si>
    <t>Carbon black</t>
  </si>
  <si>
    <t>Binder (PVDF)</t>
  </si>
  <si>
    <t xml:space="preserve">Picostoste - Elligen </t>
  </si>
  <si>
    <t>ghg (g/ton)</t>
  </si>
  <si>
    <t>Aluminum</t>
  </si>
  <si>
    <t>ghg (kg co2-eq/kg)</t>
  </si>
  <si>
    <t>2) Global Warming Potentials of Greenhouse Gases: relative to CO2</t>
  </si>
  <si>
    <t>Metrics for Carbon Dioxide, Methane, Nitrous Oxide</t>
  </si>
  <si>
    <t>1.7) Summary: Energy Use &amp; Environmental Impacts</t>
  </si>
  <si>
    <t>Subtotal: Cell</t>
  </si>
  <si>
    <t>AR Edition/Type</t>
  </si>
  <si>
    <t>AR6/GWP</t>
  </si>
  <si>
    <t>Module components sans cell (kg)</t>
  </si>
  <si>
    <t>Time Horizon (YR)</t>
  </si>
  <si>
    <t>CO2</t>
  </si>
  <si>
    <t>Pyrometallurgical processing</t>
  </si>
  <si>
    <t>Hydrometallurgical processing</t>
  </si>
  <si>
    <t>Direct recycling</t>
  </si>
  <si>
    <t>CH4</t>
  </si>
  <si>
    <t>Energy Use: mmBtu per ton of battery cells recycled</t>
  </si>
  <si>
    <t>Insulation</t>
  </si>
  <si>
    <t>N2O</t>
  </si>
  <si>
    <t>Electronic part</t>
  </si>
  <si>
    <t>Subtotal: Module sans cell</t>
  </si>
  <si>
    <t>Metrics for Near Term Climate Forcers</t>
  </si>
  <si>
    <t>Pack components sans module (kg)</t>
  </si>
  <si>
    <t>VOC</t>
  </si>
  <si>
    <t>CO</t>
  </si>
  <si>
    <t>NOx</t>
  </si>
  <si>
    <t>Water consumption (gal/ton battery cells recycled)</t>
  </si>
  <si>
    <t>BC</t>
  </si>
  <si>
    <t>Total Emissions: grams per ton of battery cells recycled</t>
  </si>
  <si>
    <t>Coolant</t>
  </si>
  <si>
    <t>OC</t>
  </si>
  <si>
    <t>Subtotal: Pack sans module</t>
  </si>
  <si>
    <t>Totals (kg)</t>
  </si>
  <si>
    <t>Total: Pack</t>
  </si>
  <si>
    <t>Urban Emissions: grams per ton of battery cells recycled</t>
  </si>
  <si>
    <t>ghg (kg co2-eq/kg of battery cells)</t>
  </si>
  <si>
    <t>2) Summary of Energy Consumption and Emissions Related to Recovered Materials</t>
  </si>
  <si>
    <t>Lithium carbonate (Li2CO3)</t>
  </si>
  <si>
    <t>Energy Use: mmBtu per ton of recycled materials</t>
  </si>
  <si>
    <t>Total Emissions: grams per ton of recycled materials</t>
  </si>
  <si>
    <t>Urban Emissions: grams per ton of recycled materials</t>
  </si>
  <si>
    <t>material_name</t>
  </si>
  <si>
    <t>mass_required_kg</t>
  </si>
  <si>
    <t>mass_recycled_kg</t>
  </si>
  <si>
    <t>price_virgin_usd_per_kg</t>
  </si>
  <si>
    <t>price_recycled_usd_per_kg</t>
  </si>
  <si>
    <t>[5][6]</t>
  </si>
  <si>
    <t>M [iron]</t>
  </si>
  <si>
    <t>M [lithium]</t>
  </si>
  <si>
    <t>iron</t>
  </si>
  <si>
    <t>[7][8] EST</t>
  </si>
  <si>
    <t>M [phosphorus]</t>
  </si>
  <si>
    <t>lithium</t>
  </si>
  <si>
    <t>M [steel]</t>
  </si>
  <si>
    <t>phosphorus</t>
  </si>
  <si>
    <t>M [graphite]</t>
  </si>
  <si>
    <t>M</t>
  </si>
  <si>
    <t>F_u</t>
  </si>
  <si>
    <t>F_r</t>
  </si>
  <si>
    <t>C_u</t>
  </si>
  <si>
    <t>C_r</t>
  </si>
  <si>
    <t>E_cp</t>
  </si>
  <si>
    <t>E_fp</t>
  </si>
  <si>
    <t>C_fp</t>
  </si>
  <si>
    <t>C_cp</t>
  </si>
  <si>
    <t>E_ms</t>
  </si>
  <si>
    <t>E_rfp</t>
  </si>
  <si>
    <t>X</t>
  </si>
  <si>
    <t>TOTAL_BATTERY_MASS</t>
  </si>
  <si>
    <t>[1] total mass</t>
  </si>
  <si>
    <t>[7] recovery; [3] collection</t>
  </si>
  <si>
    <t>mass</t>
  </si>
  <si>
    <t>recovery_rate</t>
  </si>
  <si>
    <t>energy_virgin</t>
  </si>
  <si>
    <t>energy_recycling</t>
  </si>
  <si>
    <t>adp_fossil</t>
  </si>
  <si>
    <t>[3] GREET pack steel/Al (NMC811 CI basis)</t>
  </si>
  <si>
    <t>aluminum</t>
  </si>
  <si>
    <t>cell_total</t>
  </si>
  <si>
    <t>[3] hydromet cell recycling 6.35 mmBtu/ton = 2.04 kWh/kg (GREET Battery Recycling, LFP, mass)</t>
  </si>
  <si>
    <t>cell_material_LiOH</t>
  </si>
  <si>
    <t>[3] GREET Other_Cathodes precursor; [7] recovery</t>
  </si>
  <si>
    <t>cell_material_H3PO4</t>
  </si>
  <si>
    <t>cell_material_FeSO4</t>
  </si>
  <si>
    <t>cell_material_Al</t>
  </si>
  <si>
    <t>[3] GREET cell Cu/Al (NMC811 CI basis)</t>
  </si>
  <si>
    <t>cell_material_Cu</t>
  </si>
  <si>
    <t>CI energy split  (Cell-level + Pack-level)</t>
  </si>
  <si>
    <t>Level</t>
  </si>
  <si>
    <t>Material</t>
  </si>
  <si>
    <t>Mass (kg)</t>
  </si>
  <si>
    <t>Virgin prod. energy (kWh/kg)</t>
  </si>
  <si>
    <t>Recycling energy (kWh/kg)</t>
  </si>
  <si>
    <t>ADP-fossil (MJ/kg)</t>
  </si>
  <si>
    <t>Note</t>
  </si>
  <si>
    <t>Cell-level</t>
  </si>
  <si>
    <t>recycling = cell-level hydromet 2.04 kWh/kg (6.35 mmBtu/ton)</t>
  </si>
  <si>
    <t>Al</t>
  </si>
  <si>
    <t>cell Al</t>
  </si>
  <si>
    <t>Cu</t>
  </si>
  <si>
    <t>cell Cu</t>
  </si>
  <si>
    <t>Pack-level</t>
  </si>
  <si>
    <t>steel+stainless / recyclable Al</t>
  </si>
  <si>
    <t>Aluminium (pack)</t>
  </si>
  <si>
    <t>Pre-processing</t>
  </si>
  <si>
    <t>Recycling</t>
  </si>
  <si>
    <t>F</t>
  </si>
  <si>
    <t>fp</t>
  </si>
  <si>
    <t>ft</t>
  </si>
  <si>
    <t>m_i</t>
  </si>
  <si>
    <t>F_pyro</t>
  </si>
  <si>
    <t>eta_pyro</t>
  </si>
  <si>
    <t>F_hydro</t>
  </si>
  <si>
    <t>eta_hydro</t>
  </si>
  <si>
    <t>Material_Data</t>
  </si>
  <si>
    <t>Lithium</t>
  </si>
  <si>
    <t>mass from BOM (lithium); recovery 0.91 from PCI paper (Bin &amp; Thakur 2025 SPC) + GREET Battery Recycling</t>
  </si>
  <si>
    <t>Iron</t>
  </si>
  <si>
    <t>mass from BOM cathode decomposition; NOT recovered (cathode Fe to FePO4/slag) -&gt; eta_hydro=0</t>
  </si>
  <si>
    <t>Phosphorus</t>
  </si>
  <si>
    <t>mass from BOM cathode decomposition; NOT recovered (cathode P to FePO4/slag) -&gt; eta_hydro=0</t>
  </si>
  <si>
    <t>mass from ECPI_indicator; recovery 0.96 GREET/EverBatt (Cu current-collector)</t>
  </si>
  <si>
    <t>mass from ECPI_indicator; recovery 0.93 EverBatt (module+pack Al)</t>
  </si>
  <si>
    <t>mass from ECPI_indicator; recovery 0.95 ferrous scrap (literature)</t>
  </si>
  <si>
    <t>GREET energy/GHG inventory (feeds MRE E-block)</t>
  </si>
  <si>
    <t>E_processing (MJ)</t>
  </si>
  <si>
    <t>[4] Σ mass×intensity + active</t>
  </si>
  <si>
    <t>E_assembly (MJ)</t>
  </si>
  <si>
    <t>[3] 0.200 mmBtu/kWh</t>
  </si>
  <si>
    <t>E_total production (MJ)</t>
  </si>
  <si>
    <t>[3][4]</t>
  </si>
  <si>
    <t>active material (mmBtu/ton)</t>
  </si>
  <si>
    <t>[3] recipe+synthesis</t>
  </si>
  <si>
    <t>active material (t CO2/ton)</t>
  </si>
  <si>
    <t>[3]</t>
  </si>
  <si>
    <t>total GHG (kg CO2e)</t>
  </si>
  <si>
    <t>Full MRE parameter list: see mre/mre_indicator.csv (carried-over assumptions in CARRY_OVER_AUDIT)</t>
  </si>
  <si>
    <t>M1 - Material Circularity Inflow (live link to ECPI_indicator)</t>
  </si>
  <si>
    <t>m_re_total</t>
  </si>
  <si>
    <t>recycled feedstock = SUM(ECPI m_in_circular); Fe/P (FeSO4/H3PO4) = 0</t>
  </si>
  <si>
    <t>m_vir_total</t>
  </si>
  <si>
    <t>virgin feedstock = SUM(ECPI m_in_virgin) - SUM(m_in_circular)</t>
  </si>
  <si>
    <t>M1</t>
  </si>
  <si>
    <t>M1 = m_re/(m_re+m_vir)</t>
  </si>
  <si>
    <t>[9] MRE method (M/R/E): Bin &amp; Thakur 2025, Sustainable Production and Consumption 55:470-485 (MRE_XBin_2025_SPC + Suppl.)</t>
  </si>
  <si>
    <t>[10] m_re_total/m_vir_total LIVE-LINKED to ECPI_indicator (=SUM K/L cols, see M1 block I23:L26); recovery eta from PCI paper [9].</t>
  </si>
  <si>
    <t>FULL M / R / E PARAMETER SET &amp; RESULTS  (Bin &amp; Thakur 2025 method; LFP, hydro, 90% collection)</t>
  </si>
  <si>
    <t>Indicator</t>
  </si>
  <si>
    <t>Parameter</t>
  </si>
  <si>
    <t>Value</t>
  </si>
  <si>
    <t>Unit</t>
  </si>
  <si>
    <t>Description</t>
  </si>
  <si>
    <t>Source / Reference</t>
  </si>
  <si>
    <t>MATERIAL INDICATOR (M)</t>
  </si>
  <si>
    <t>M1 - Material Circularity Inflow</t>
  </si>
  <si>
    <t>index</t>
  </si>
  <si>
    <t>ECPI_indicator (SUM m_in_circular / m_in_virgin); live M1 block at I23:L26</t>
  </si>
  <si>
    <t>Total recycled mass [from ECPI_indicator: SUM(m_in_circular) over LiOH/Cu/Al/steel; Fe &amp; P not recycled]</t>
  </si>
  <si>
    <t>Total virgin mass [from ECPI_indicator: SUM(K)-SUM(L); cathode Fe/P enter as FeSO4/H3PO4 precursors virgin-only]</t>
  </si>
  <si>
    <t>M2 - Material Recovery Importance</t>
  </si>
  <si>
    <t>GREET mass; economic/env factors (cathode Fe/P low)</t>
  </si>
  <si>
    <t>&gt; see Material_Data block (columns F, fp, ft)</t>
  </si>
  <si>
    <t>M3 - Product Material Recovery Potential</t>
  </si>
  <si>
    <t>GREET Battery Recycling + FHanna 2025; cathode Fe &amp; P = 0</t>
  </si>
  <si>
    <t>&gt; see Material_Data block (m_i, eta_hydro)</t>
  </si>
  <si>
    <t>M4 - Regional Material Recovery Cooperation</t>
  </si>
  <si>
    <t>NREL Li-ion supply-chain DB (Ohio / Michigan)</t>
  </si>
  <si>
    <t>m_c_i</t>
  </si>
  <si>
    <t>Regional recycling throughput Ohio [NREL] - chemistry-independent infrastructure (intentionally carried)</t>
  </si>
  <si>
    <t>m_out_c_i</t>
  </si>
  <si>
    <t>Regional recycling throughput Michigan blackmass [NREL] - chemistry-independent (intentionally carried)</t>
  </si>
  <si>
    <t>M5 - Material Recovery Rates from Distance</t>
  </si>
  <si>
    <t>EverBatt 2023 Man Par. 2.3.4 cost summary ($/kg cell)</t>
  </si>
  <si>
    <t>C_trans</t>
  </si>
  <si>
    <t>$/kg</t>
  </si>
  <si>
    <t>Recovery transport cost $/kg - chemistry-independent (EverBatt 2023; kept 1.24)</t>
  </si>
  <si>
    <t>C_energy</t>
  </si>
  <si>
    <t>Utilities = 0.15 x C_total = 3.05 $/kg (LFP); NMC811 was 4.4655</t>
  </si>
  <si>
    <t>C_labor</t>
  </si>
  <si>
    <t>EverBatt 2023 LFP direct labor 0.44 $/kg cell (NMC811 0.53)</t>
  </si>
  <si>
    <t>C_total</t>
  </si>
  <si>
    <t>EverBatt 2023 LFP virgin cell production cost 20.33 $/kg cell (Man Par. 2.3.4 cost summary; NMC811 29.77)</t>
  </si>
  <si>
    <t>M6 - Water Circularity</t>
  </si>
  <si>
    <t>Cristaldi et al. 2020</t>
  </si>
  <si>
    <t>wrr</t>
  </si>
  <si>
    <t>wte</t>
  </si>
  <si>
    <t>M7 - Weight of Material Outflow</t>
  </si>
  <si>
    <t>Assumption</t>
  </si>
  <si>
    <t>m_residuals</t>
  </si>
  <si>
    <t>kg/year</t>
  </si>
  <si>
    <t>Mass of product residuals</t>
  </si>
  <si>
    <t>m_emissions</t>
  </si>
  <si>
    <t>Mass of emissions</t>
  </si>
  <si>
    <t>m_landfill</t>
  </si>
  <si>
    <t>Mass of landfill waste</t>
  </si>
  <si>
    <t>m_product_M7</t>
  </si>
  <si>
    <t>Total product mass for M7</t>
  </si>
  <si>
    <t>m_landfill_percent</t>
  </si>
  <si>
    <t>M sub-index weights</t>
  </si>
  <si>
    <t>Bin &amp; Thakur 2025</t>
  </si>
  <si>
    <t>n1</t>
  </si>
  <si>
    <t>n2</t>
  </si>
  <si>
    <t>n3</t>
  </si>
  <si>
    <t>n4</t>
  </si>
  <si>
    <t>n5</t>
  </si>
  <si>
    <t>Total M (composite)</t>
  </si>
  <si>
    <t>RECOVERY / END-OF-LIFE INDICATOR (R)</t>
  </si>
  <si>
    <t>R1 - Reduce</t>
  </si>
  <si>
    <t>GREET mfg yields; LFP masses</t>
  </si>
  <si>
    <t>m_waste</t>
  </si>
  <si>
    <t>Mfg scrap = 0.185*steel + 0.15*Al + 0.04*Cu on LFP masses (was NMC811 m_waste x pack-ratio)</t>
  </si>
  <si>
    <t>m_natural_resources</t>
  </si>
  <si>
    <t>0.7 x LFP pack 606.3 kg (LFP-native; was NMC811 x pack-ratio)</t>
  </si>
  <si>
    <t>m_product_R1</t>
  </si>
  <si>
    <t>Mass of final product for R1</t>
  </si>
  <si>
    <t>R2 - Remanufacturing</t>
  </si>
  <si>
    <t>Second-life scenario (Bobba 2018)</t>
  </si>
  <si>
    <t>m_remanufactured</t>
  </si>
  <si>
    <t>2% of LFP pack x collection (LFP-native; was NMC811 x pack-ratio)</t>
  </si>
  <si>
    <t>F_EV</t>
  </si>
  <si>
    <t>fraction</t>
  </si>
  <si>
    <t>Fraction returned to EV use</t>
  </si>
  <si>
    <t>F_generation</t>
  </si>
  <si>
    <t>Fraction for generation-side storage</t>
  </si>
  <si>
    <t>F_user</t>
  </si>
  <si>
    <t>Fraction for user-side storage</t>
  </si>
  <si>
    <t>F_mobile</t>
  </si>
  <si>
    <t>Fraction for mobile power supply</t>
  </si>
  <si>
    <t>m_product_R2</t>
  </si>
  <si>
    <t>Total product mass for R2</t>
  </si>
  <si>
    <t>m_recycled_at_80</t>
  </si>
  <si>
    <t>LFP cell mass 402.95 kg from BOM/OWinjobi2020 composition (NMC811 used SUM(ECPI F4:F11) x pack-ratio)</t>
  </si>
  <si>
    <t>R3 - Repurposing / Echelon Utilization</t>
  </si>
  <si>
    <t>Iqbal 2023; Martinez-Laserna 2018</t>
  </si>
  <si>
    <t>SOF_retired_1</t>
  </si>
  <si>
    <t>State of function pathway 1</t>
  </si>
  <si>
    <t>SOF_retired_2</t>
  </si>
  <si>
    <t>State of function pathway 2</t>
  </si>
  <si>
    <t>SOF_retired_3</t>
  </si>
  <si>
    <t>State of function pathway 3</t>
  </si>
  <si>
    <t>Y_retired_1</t>
  </si>
  <si>
    <t>years</t>
  </si>
  <si>
    <t>Lifespan in secondary use pathway 1</t>
  </si>
  <si>
    <t>Y_retired_2</t>
  </si>
  <si>
    <t>Lifespan in secondary use pathway 2</t>
  </si>
  <si>
    <t>Y_retired_3</t>
  </si>
  <si>
    <t>Lifespan in secondary use pathway 3</t>
  </si>
  <si>
    <t>m_repurpose_1</t>
  </si>
  <si>
    <t>LFP pack/10 x 0.33 (LFP-native; was NMC811 x pack-ratio)</t>
  </si>
  <si>
    <t>m_repurpose_2</t>
  </si>
  <si>
    <t>m_repurpose_3</t>
  </si>
  <si>
    <t>m_product_R3</t>
  </si>
  <si>
    <t>Total product mass for R3</t>
  </si>
  <si>
    <t>R4 - Recycling</t>
  </si>
  <si>
    <t>Recyclable fraction + expert design-for-recycling scores</t>
  </si>
  <si>
    <t>recycled_fraction</t>
  </si>
  <si>
    <t>m_recycled_at_80/pack x collection = 402.95/606.30 x 0.9 = 0.598 (NMC811 was 0.69)</t>
  </si>
  <si>
    <t>Q1</t>
  </si>
  <si>
    <t>score</t>
  </si>
  <si>
    <t>Qualitative score 1</t>
  </si>
  <si>
    <t>Q2</t>
  </si>
  <si>
    <t>Qualitative score 2</t>
  </si>
  <si>
    <t>Q3</t>
  </si>
  <si>
    <t>Qualitative score 3</t>
  </si>
  <si>
    <t>Q4</t>
  </si>
  <si>
    <t>Qualitative score 4</t>
  </si>
  <si>
    <t>Q5</t>
  </si>
  <si>
    <t>Qualitative score 5</t>
  </si>
  <si>
    <t>Q6</t>
  </si>
  <si>
    <t>Qualitative score 6</t>
  </si>
  <si>
    <t>Q7</t>
  </si>
  <si>
    <t>Qualitative score 7</t>
  </si>
  <si>
    <t>Q8</t>
  </si>
  <si>
    <t>Qualitative score 8</t>
  </si>
  <si>
    <t>Q9</t>
  </si>
  <si>
    <t>Qualitative score 9</t>
  </si>
  <si>
    <t>R sub-index weights</t>
  </si>
  <si>
    <t>r1</t>
  </si>
  <si>
    <t>r2</t>
  </si>
  <si>
    <t>r3</t>
  </si>
  <si>
    <t>r4</t>
  </si>
  <si>
    <t>Total R (composite)</t>
  </si>
  <si>
    <t>ENERGY INDICATOR (E)</t>
  </si>
  <si>
    <t>E1 - Share of Renewable Energy</t>
  </si>
  <si>
    <t>GREET stage energies; US grid renewable share</t>
  </si>
  <si>
    <t>F_rene_1</t>
  </si>
  <si>
    <t>Stage energy share: raw-material extraction = 1/3 production (LFP energies; NMC811 used 79474 total)</t>
  </si>
  <si>
    <t>F_rene_2</t>
  </si>
  <si>
    <t>Stage energy share: manufacturing = 2/3 production (LFP energies)</t>
  </si>
  <si>
    <t>F_rene_3</t>
  </si>
  <si>
    <t>Stage energy share: logistics (LFP 606 kg pack)</t>
  </si>
  <si>
    <t>F_rene_4</t>
  </si>
  <si>
    <t>Stage energy share: recycling/EoL (LFP recycling energy)</t>
  </si>
  <si>
    <t>E_rene_1</t>
  </si>
  <si>
    <t>MJ</t>
  </si>
  <si>
    <t>Renewable energy consumption step 1</t>
  </si>
  <si>
    <t>E_rene_2</t>
  </si>
  <si>
    <t>Renewable energy consumption step 2</t>
  </si>
  <si>
    <t>E_rene_3</t>
  </si>
  <si>
    <t>Renewable energy consumption step 3</t>
  </si>
  <si>
    <t>E_rene_4</t>
  </si>
  <si>
    <t>Renewable energy consumption step 4</t>
  </si>
  <si>
    <t>E2 - Energy Efficiency</t>
  </si>
  <si>
    <t>Bin &amp; Thakur 2025 (manufacturing energy steps)</t>
  </si>
  <si>
    <t>F_step_1</t>
  </si>
  <si>
    <t>Fraction of energy in step 1</t>
  </si>
  <si>
    <t>F_step_2</t>
  </si>
  <si>
    <t>Fraction of energy in step 2</t>
  </si>
  <si>
    <t>F_step_3</t>
  </si>
  <si>
    <t>Fraction of energy in step 3</t>
  </si>
  <si>
    <t>F_step_4</t>
  </si>
  <si>
    <t>Fraction of energy in step 4</t>
  </si>
  <si>
    <t>ES_step_1</t>
  </si>
  <si>
    <t>factor</t>
  </si>
  <si>
    <t>Energy-saving factor step 1</t>
  </si>
  <si>
    <t>ES_step_2</t>
  </si>
  <si>
    <t>Energy-saving factor step 2</t>
  </si>
  <si>
    <t>ES_step_3</t>
  </si>
  <si>
    <t>Energy-saving factor step 3</t>
  </si>
  <si>
    <t>ES_step_4</t>
  </si>
  <si>
    <t>Energy-saving factor step 4</t>
  </si>
  <si>
    <t>E3 - Energy Consumption in Recycling / EoL</t>
  </si>
  <si>
    <t>GREET 2024 (production + Battery Recycling LFP+Hydro); logistics = transport calc</t>
  </si>
  <si>
    <t>E_extraction</t>
  </si>
  <si>
    <t>Energy for raw material extraction</t>
  </si>
  <si>
    <t>E_processing</t>
  </si>
  <si>
    <t>Energy for material processing</t>
  </si>
  <si>
    <t>E_assembly</t>
  </si>
  <si>
    <t>Energy for module/cell assembly</t>
  </si>
  <si>
    <t>E_transport_manuf</t>
  </si>
  <si>
    <t>Manufacturing transport MJ scaled to LFP pack 606 kg (NMC811 438 kg)</t>
  </si>
  <si>
    <t>E_collection</t>
  </si>
  <si>
    <t>Energy for collection of spent batteries</t>
  </si>
  <si>
    <t>E_transport_recy</t>
  </si>
  <si>
    <t>Recycling transport MJ scaled to LFP pack 606 kg (NMC811 438 kg)</t>
  </si>
  <si>
    <t>E_pre_treatment</t>
  </si>
  <si>
    <t>GREET LFP Battery Recycling hydro Pre-processing 3.051317 mmBtu/ton x LFP cell 402.95 kg</t>
  </si>
  <si>
    <t>E_recovery</t>
  </si>
  <si>
    <t>GREET LFP Battery Recycling hydro Recycling 3.300668 mmBtu/ton x LFP cell 402.95 kg (NMC811 was 24.46)</t>
  </si>
  <si>
    <t>E_repurpose</t>
  </si>
  <si>
    <t>Energy for repurposing</t>
  </si>
  <si>
    <t>E_operational_secondlife</t>
  </si>
  <si>
    <t>Second-life energy = LFP recycling (GREET LFP hydro); NMC811 was 8699.95</t>
  </si>
  <si>
    <t>f_saving_from_recycled</t>
  </si>
  <si>
    <t>Energy saving from recycled material</t>
  </si>
  <si>
    <t>P_recycling</t>
  </si>
  <si>
    <t>m_recycled_at_80/pack x collection (LFP cell basis); NMC811 was 0.69</t>
  </si>
  <si>
    <t>P_secondlife</t>
  </si>
  <si>
    <t>Fraction allocated to second-life</t>
  </si>
  <si>
    <t>Y_retired_years</t>
  </si>
  <si>
    <t>Second-life duration unified to 5 yr (= Y_retired_1/2/3 = Y_ref); NMC811 was 10</t>
  </si>
  <si>
    <t>service_life_primary_years</t>
  </si>
  <si>
    <t>LFP EV service life 12 yr (LFP long-life assumption; NMC811=8)</t>
  </si>
  <si>
    <t>E4 - Energy Return Indicator</t>
  </si>
  <si>
    <t>Vehicle use; Bin &amp; Thakur 2025 conversion factors</t>
  </si>
  <si>
    <t>E_used_j_1</t>
  </si>
  <si>
    <t>MJ/yr</t>
  </si>
  <si>
    <t>Energy usage function 1</t>
  </si>
  <si>
    <t>E_used_j_2</t>
  </si>
  <si>
    <t>E_used_j_1 x (1/0.9-1 + 1/0.95-1) charge/discharge loss; chemistry-independent (NMC=LFP)</t>
  </si>
  <si>
    <t>eta0</t>
  </si>
  <si>
    <t>efficiency</t>
  </si>
  <si>
    <t>Efficiency factor</t>
  </si>
  <si>
    <t>t_j_1</t>
  </si>
  <si>
    <t>Service-life function 1 = 12 yr (LFP primary EV life; NMC811=8)</t>
  </si>
  <si>
    <t>t_j_2</t>
  </si>
  <si>
    <t>Service life function 2</t>
  </si>
  <si>
    <t>F_j_1</t>
  </si>
  <si>
    <t>Fraction of product for function 1</t>
  </si>
  <si>
    <t>F_j_2</t>
  </si>
  <si>
    <t>Fraction of product for function 2</t>
  </si>
  <si>
    <t>I_j_1</t>
  </si>
  <si>
    <t>Importance factor function 1</t>
  </si>
  <si>
    <t>I_j_2</t>
  </si>
  <si>
    <t>Importance factor function 2</t>
  </si>
  <si>
    <t>QP_ipf</t>
  </si>
  <si>
    <t>Annual energy for production component 1</t>
  </si>
  <si>
    <t>QT_ipf</t>
  </si>
  <si>
    <t>Transport energy (E4) scaled to LFP pack 606 kg (NMC811 438 kg/917.41)</t>
  </si>
  <si>
    <t>beta_i</t>
  </si>
  <si>
    <t>Annual energy for production component 3</t>
  </si>
  <si>
    <t>alpha_pf_el</t>
  </si>
  <si>
    <t>Annual energy for transportation 1</t>
  </si>
  <si>
    <t>alpha_el_el</t>
  </si>
  <si>
    <t>Annual energy for transportation 2</t>
  </si>
  <si>
    <t>alpha_pf_th</t>
  </si>
  <si>
    <t>Proportion of primary fossil energy 1</t>
  </si>
  <si>
    <t>alpha_el_th</t>
  </si>
  <si>
    <t>Proportion of primary fossil energy 2</t>
  </si>
  <si>
    <t>alpha_pf_tr</t>
  </si>
  <si>
    <t>Proportion of primary fossil energy 3</t>
  </si>
  <si>
    <t>alpha_el_tr</t>
  </si>
  <si>
    <t>Primary fossil to electricity conversion</t>
  </si>
  <si>
    <t>E sub-index weights</t>
  </si>
  <si>
    <t>e1</t>
  </si>
  <si>
    <t>e2</t>
  </si>
  <si>
    <t>e3</t>
  </si>
  <si>
    <t>e4</t>
  </si>
  <si>
    <t>Total E (composite)</t>
  </si>
  <si>
    <t>BASE CASE RESULT (hydrothermal route, 90% collection)</t>
  </si>
  <si>
    <t>Total M</t>
  </si>
  <si>
    <t>Total R</t>
  </si>
  <si>
    <t>Total E</t>
  </si>
  <si>
    <t>LFP cathode route comparison (base case, 90% collection)</t>
  </si>
  <si>
    <t>LFP-Hydrothermal</t>
  </si>
  <si>
    <t>LFP-Solid-State</t>
  </si>
  <si>
    <t>Difference</t>
  </si>
  <si>
    <t>Route-dependent?</t>
  </si>
  <si>
    <t>PCI</t>
  </si>
  <si>
    <t>No  - mass/recovery only (composition identical for both routes)</t>
  </si>
  <si>
    <t>CI</t>
  </si>
  <si>
    <t>YES - cell-level energy differs (LiOH/H3PO4/FeSO4 vs Li2CO3/Fe3O4/DAP; synthesis 34.2 vs 4.97 mmBtu/ton)</t>
  </si>
  <si>
    <t>CEI</t>
  </si>
  <si>
    <t>No  - mass/price/recovery only</t>
  </si>
  <si>
    <t>ECPI</t>
  </si>
  <si>
    <t>Yes (slight) - cathode GHG / lithium precursor differs</t>
  </si>
  <si>
    <t>No  - mass/recovery driven</t>
  </si>
  <si>
    <t>R</t>
  </si>
  <si>
    <t>No  - ratio/scenario driven</t>
  </si>
  <si>
    <t>E</t>
  </si>
  <si>
    <t>marginal - active-material energy feeds E_processing (fraction-dominated indicator)</t>
  </si>
  <si>
    <t>Note: route affects ONLY the cathode-production block (CI cell energy + ECPI cathode GHG; E via E_processing).</t>
  </si>
  <si>
    <t>PCI/CEI/M/R are route-independent: LFP composition, masses, prices and recovery are identical for both routes.</t>
  </si>
  <si>
    <t>Solid-state results: cumulative_results_solidstate_lfp.csv | chart: NMC811_vs_LFP_comparison_lfp.png</t>
  </si>
  <si>
    <t>CI inputs — LFP SOLID-STATE route (Li2CO3 + Fe3O4 + DAP cathode)</t>
  </si>
  <si>
    <t>Differs from CI_inputs (hydrothermal) only in the cell-material precursors and their production energy. Pack steel/Al, cell Cu, and the hydrometallurgical cell recycling (6.35 mmBtu/ton) are identical. Recycling route is hydromet for both.</t>
  </si>
  <si>
    <t>cell_material_Li2CO3</t>
  </si>
  <si>
    <t>cell_material_Fe3O4</t>
  </si>
  <si>
    <t>cell_material_DAP</t>
  </si>
  <si>
    <t>active-material cradle-to-gate (solid) = 50.33 mmBtu/ton (hydro 108.7); cathode synthesis 4.97 mmBtu/ton (hydro 34.2).</t>
  </si>
  <si>
    <t>FULL M / R / E PARAMETER SET &amp; RESULTS  (Bin &amp; Thakur 2025 method; LFP, solid-state, 90% collection)</t>
  </si>
  <si>
    <t>Total recycled mass [from ECPI_indicator: SUM(m_in_circular) over Li2CO3/Cu/Al/steel; Fe &amp; P not recycled]</t>
  </si>
  <si>
    <t>Total virgin mass [from ECPI_indicator: SUM(K)-SUM(L); cathode Fe/P enter as Fe3O4/DAP precursors virgin-only]</t>
  </si>
  <si>
    <t>BASE CASE RESULT (solid-state route, 90% collection)</t>
  </si>
  <si>
    <t>cobalt</t>
  </si>
  <si>
    <t>nickel</t>
  </si>
  <si>
    <t>manganese</t>
  </si>
  <si>
    <t>graphite</t>
  </si>
  <si>
    <t>corrected with Fr</t>
  </si>
  <si>
    <t>corrected ghg kgco2/kg</t>
  </si>
  <si>
    <t xml:space="preserve">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</si>
</sst>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8" borderId="0"/>
    <xf numFmtId="0" fontId="9" fillId="11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0" fontId="3" fillId="0" borderId="0" xfId="0" applyFont="1"/>
    <xf numFmtId="0" fontId="4" fillId="5" borderId="0" xfId="0" applyFont="1" applyFill="1"/>
    <xf numFmtId="0" fontId="4" fillId="5" borderId="0" xfId="0" applyFont="1" applyFill="1" applyAlignment="1">
      <alignment horizontal="center" wrapText="1"/>
    </xf>
    <xf numFmtId="0" fontId="0" fillId="6" borderId="0" xfId="0" applyFill="1"/>
    <xf numFmtId="0" fontId="4" fillId="5" borderId="0" xfId="0" applyFont="1" applyFill="1" applyAlignment="1">
      <alignment wrapText="1"/>
    </xf>
    <xf numFmtId="0" fontId="0" fillId="7" borderId="0" xfId="0" applyFill="1"/>
    <xf numFmtId="0" fontId="0" fillId="4" borderId="0" xfId="0" applyFill="1"/>
    <xf numFmtId="0" fontId="5" fillId="8" borderId="0" xfId="1"/>
    <xf numFmtId="0" fontId="2" fillId="5" borderId="0" xfId="0" applyFont="1" applyFill="1"/>
    <xf numFmtId="0" fontId="6" fillId="0" borderId="0" xfId="0" applyFont="1"/>
    <xf numFmtId="0" fontId="7" fillId="0" borderId="0" xfId="0" applyFont="1"/>
    <xf numFmtId="0" fontId="0" fillId="9" borderId="0" xfId="0" applyFill="1" applyAlignment="1">
      <alignment wrapText="1"/>
    </xf>
    <xf numFmtId="0" fontId="8" fillId="10" borderId="0" xfId="0" applyFont="1" applyFill="1" applyAlignment="1">
      <alignment wrapText="1"/>
    </xf>
    <xf numFmtId="0" fontId="9" fillId="11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3960-FFD2-453F-8DCC-F240D0D0F606}">
  <dimension ref="A1:AA123"/>
  <sheetViews>
    <sheetView tabSelected="1" topLeftCell="E1" zoomScale="85" zoomScaleNormal="85" workbookViewId="0">
      <selection activeCell="R14" sqref="R14"/>
    </sheetView>
  </sheetViews>
  <sheetFormatPr defaultRowHeight="15" x14ac:dyDescent="0.25"/>
  <cols>
    <col min="1" max="1" width="40" customWidth="1"/>
    <col min="2" max="3" width="12" customWidth="1"/>
    <col min="4" max="4" width="3" customWidth="1"/>
    <col min="5" max="5" width="24" customWidth="1"/>
    <col min="6" max="6" width="14" customWidth="1"/>
    <col min="7" max="7" width="12" customWidth="1"/>
    <col min="8" max="8" width="16.140625" bestFit="1" customWidth="1"/>
    <col min="9" max="10" width="12" customWidth="1"/>
    <col min="12" max="12" width="23" customWidth="1"/>
    <col min="13" max="16" width="15" customWidth="1"/>
    <col min="17" max="18" width="42" customWidth="1"/>
    <col min="19" max="19" width="27.140625" bestFit="1" customWidth="1"/>
    <col min="20" max="20" width="28.28515625" bestFit="1" customWidth="1"/>
    <col min="22" max="22" width="28.42578125" bestFit="1" customWidth="1"/>
    <col min="23" max="23" width="35" bestFit="1" customWidth="1"/>
    <col min="24" max="25" width="9.28515625" bestFit="1" customWidth="1"/>
    <col min="26" max="26" width="14" bestFit="1" customWidth="1"/>
    <col min="27" max="27" width="9.28515625" bestFit="1" customWidth="1"/>
  </cols>
  <sheetData>
    <row r="1" spans="1:27" x14ac:dyDescent="0.25">
      <c r="A1" s="1" t="s">
        <v>16</v>
      </c>
    </row>
    <row r="2" spans="1:27" x14ac:dyDescent="0.25">
      <c r="A2" s="1" t="s">
        <v>17</v>
      </c>
      <c r="E2" s="1" t="s">
        <v>18</v>
      </c>
    </row>
    <row r="3" spans="1:27" x14ac:dyDescent="0.25">
      <c r="A3" s="2" t="s">
        <v>19</v>
      </c>
      <c r="B3" s="2" t="s">
        <v>20</v>
      </c>
      <c r="C3" s="2" t="s">
        <v>21</v>
      </c>
      <c r="E3" s="2" t="s">
        <v>22</v>
      </c>
      <c r="F3" s="2" t="s">
        <v>21</v>
      </c>
      <c r="G3" s="15" t="s">
        <v>23</v>
      </c>
      <c r="H3" s="15" t="s">
        <v>577</v>
      </c>
      <c r="I3" s="15" t="s">
        <v>24</v>
      </c>
      <c r="J3" s="15" t="s">
        <v>578</v>
      </c>
      <c r="L3" s="1" t="s">
        <v>25</v>
      </c>
    </row>
    <row r="4" spans="1:27" x14ac:dyDescent="0.25">
      <c r="A4" t="s">
        <v>26</v>
      </c>
      <c r="B4">
        <v>368.78739999999999</v>
      </c>
      <c r="C4">
        <v>167.2792</v>
      </c>
      <c r="E4" t="s">
        <v>27</v>
      </c>
      <c r="F4">
        <v>75.848600000000005</v>
      </c>
      <c r="G4">
        <f>C8-F25</f>
        <v>19.763367605633803</v>
      </c>
      <c r="H4">
        <f>G4*H31</f>
        <v>18.379931873239439</v>
      </c>
      <c r="I4">
        <f>G4/G8*I9</f>
        <v>58.992349050434818</v>
      </c>
      <c r="J4">
        <f>H4/$H$8*$I$9</f>
        <v>58.20914783405707</v>
      </c>
      <c r="L4" s="3" t="s">
        <v>2</v>
      </c>
      <c r="M4" s="3" t="s">
        <v>3</v>
      </c>
      <c r="N4" s="3" t="s">
        <v>4</v>
      </c>
      <c r="O4" s="3" t="s">
        <v>5</v>
      </c>
      <c r="P4" s="3" t="s">
        <v>6</v>
      </c>
      <c r="Q4" s="3" t="s">
        <v>28</v>
      </c>
      <c r="R4" s="3"/>
      <c r="S4" s="3" t="s">
        <v>579</v>
      </c>
      <c r="T4" s="2" t="s">
        <v>30</v>
      </c>
    </row>
    <row r="5" spans="1:27" x14ac:dyDescent="0.25">
      <c r="A5" t="s">
        <v>31</v>
      </c>
      <c r="B5">
        <v>189.53989999999999</v>
      </c>
      <c r="C5">
        <v>85.973799999999997</v>
      </c>
      <c r="E5" t="s">
        <v>32</v>
      </c>
      <c r="F5">
        <v>61.357900000000001</v>
      </c>
      <c r="G5">
        <f>F5</f>
        <v>61.357900000000001</v>
      </c>
      <c r="H5">
        <f>H32*G5</f>
        <v>58.903583999999995</v>
      </c>
      <c r="I5">
        <f>G5/G8*I9</f>
        <v>183.14928538645651</v>
      </c>
      <c r="J5">
        <f t="shared" ref="J5:J6" si="0">H5/$H$8*$I$9</f>
        <v>186.54734156027587</v>
      </c>
      <c r="L5" t="s">
        <v>33</v>
      </c>
      <c r="M5">
        <v>44.894380042512317</v>
      </c>
      <c r="N5">
        <v>4.489438004251233</v>
      </c>
      <c r="O5">
        <v>44.894380042512317</v>
      </c>
      <c r="P5">
        <f>0.9*O5</f>
        <v>40.404942038261083</v>
      </c>
      <c r="Q5">
        <f>M5*M46</f>
        <v>1018.0797529467961</v>
      </c>
      <c r="R5">
        <f>I6</f>
        <v>75.801284586055274</v>
      </c>
      <c r="S5">
        <f>J6</f>
        <v>73.18642962861361</v>
      </c>
      <c r="T5" t="s">
        <v>34</v>
      </c>
      <c r="U5">
        <f>P5/O5</f>
        <v>0.89999999999999991</v>
      </c>
      <c r="V5" t="s">
        <v>35</v>
      </c>
    </row>
    <row r="6" spans="1:27" x14ac:dyDescent="0.25">
      <c r="A6" t="s">
        <v>36</v>
      </c>
      <c r="B6">
        <v>11.4954</v>
      </c>
      <c r="C6">
        <v>5.2141999999999999</v>
      </c>
      <c r="E6" t="s">
        <v>37</v>
      </c>
      <c r="F6">
        <f>C4*F12/G19</f>
        <v>25.394626190808239</v>
      </c>
      <c r="G6">
        <f>F6</f>
        <v>25.394626190808239</v>
      </c>
      <c r="H6">
        <f>H36*G6</f>
        <v>23.109109833635497</v>
      </c>
      <c r="I6">
        <f>G6/G8*I9</f>
        <v>75.801284586055274</v>
      </c>
      <c r="J6">
        <f t="shared" si="0"/>
        <v>73.18642962861361</v>
      </c>
      <c r="L6" t="s">
        <v>8</v>
      </c>
      <c r="M6">
        <v>61.357921876529844</v>
      </c>
      <c r="N6">
        <v>19.634535000489549</v>
      </c>
      <c r="O6">
        <v>61.357921876529844</v>
      </c>
      <c r="P6">
        <f>0.9*O6</f>
        <v>55.222129688876862</v>
      </c>
      <c r="Q6">
        <f>M6*X47</f>
        <v>236.83410874652205</v>
      </c>
      <c r="R6">
        <f>I5</f>
        <v>183.14928538645651</v>
      </c>
      <c r="S6">
        <f>J5</f>
        <v>186.54734156027587</v>
      </c>
      <c r="T6" t="s">
        <v>38</v>
      </c>
      <c r="U6">
        <f>P6/O6</f>
        <v>0.9</v>
      </c>
      <c r="V6" t="s">
        <v>39</v>
      </c>
    </row>
    <row r="7" spans="1:27" x14ac:dyDescent="0.25">
      <c r="A7" t="s">
        <v>40</v>
      </c>
      <c r="B7">
        <v>135.27109999999999</v>
      </c>
      <c r="C7">
        <v>61.357900000000001</v>
      </c>
      <c r="L7" t="s">
        <v>9</v>
      </c>
      <c r="M7">
        <v>75.848577339465237</v>
      </c>
      <c r="N7">
        <v>37.924288669732618</v>
      </c>
      <c r="O7">
        <v>75.848577339465237</v>
      </c>
      <c r="P7">
        <f>0.9*O7</f>
        <v>68.263719605518716</v>
      </c>
      <c r="Q7">
        <f>M7*W47</f>
        <v>1089.9095422242981</v>
      </c>
      <c r="R7">
        <f>I4+O7*AA47*F25/F24*H31</f>
        <v>181.81807731894563</v>
      </c>
      <c r="S7">
        <f>O7*AA47*F25/C8*H31+J4</f>
        <v>181.03487610256786</v>
      </c>
      <c r="T7" t="s">
        <v>38</v>
      </c>
      <c r="U7">
        <f>P7/O7</f>
        <v>0.9</v>
      </c>
      <c r="V7" t="s">
        <v>41</v>
      </c>
    </row>
    <row r="8" spans="1:27" x14ac:dyDescent="0.25">
      <c r="A8" t="s">
        <v>42</v>
      </c>
      <c r="B8">
        <v>167.2175</v>
      </c>
      <c r="C8">
        <v>75.848600000000005</v>
      </c>
      <c r="E8" t="s">
        <v>43</v>
      </c>
      <c r="G8">
        <f>G4+G5+G6</f>
        <v>106.51589379644204</v>
      </c>
      <c r="H8">
        <f>SUM(H4:H6)</f>
        <v>100.39262570687494</v>
      </c>
      <c r="L8" t="s">
        <v>10</v>
      </c>
      <c r="M8">
        <v>118.5929794372454</v>
      </c>
      <c r="N8">
        <v>30.83417465368381</v>
      </c>
      <c r="O8">
        <v>118.5929794372454</v>
      </c>
      <c r="P8">
        <f>0.9*O8</f>
        <v>106.73368149352086</v>
      </c>
      <c r="Q8">
        <f>M8*(Y47)</f>
        <v>352.11551179231299</v>
      </c>
      <c r="R8">
        <f>O8*H30*Z47</f>
        <v>73.018375761481437</v>
      </c>
      <c r="S8">
        <f>O8*Z47*H30</f>
        <v>73.018375761481437</v>
      </c>
      <c r="T8" t="s">
        <v>38</v>
      </c>
      <c r="U8">
        <f>P8/O8</f>
        <v>0.9</v>
      </c>
      <c r="V8" t="s">
        <v>44</v>
      </c>
    </row>
    <row r="9" spans="1:27" x14ac:dyDescent="0.25">
      <c r="A9" t="s">
        <v>45</v>
      </c>
      <c r="B9">
        <v>16.9757</v>
      </c>
      <c r="C9">
        <v>7.7000999999999999</v>
      </c>
      <c r="E9" t="s">
        <v>46</v>
      </c>
      <c r="G9">
        <f>C24</f>
        <v>402.94716760563392</v>
      </c>
      <c r="I9">
        <f>G9*T86</f>
        <v>317.94291902294657</v>
      </c>
      <c r="L9" t="s">
        <v>47</v>
      </c>
      <c r="M9">
        <v>94.922557400415897</v>
      </c>
      <c r="N9">
        <v>0</v>
      </c>
      <c r="O9">
        <v>94.922557400415897</v>
      </c>
      <c r="P9">
        <v>0</v>
      </c>
      <c r="Q9">
        <f>M9*O46</f>
        <v>3.1683200710310284E-2</v>
      </c>
      <c r="S9">
        <v>0</v>
      </c>
      <c r="V9" t="s">
        <v>48</v>
      </c>
    </row>
    <row r="10" spans="1:27" x14ac:dyDescent="0.25">
      <c r="A10" t="s">
        <v>49</v>
      </c>
      <c r="B10">
        <v>47.050800000000002</v>
      </c>
      <c r="C10">
        <v>21.341899999999999</v>
      </c>
      <c r="E10" s="1" t="s">
        <v>50</v>
      </c>
      <c r="G10">
        <f>F10</f>
        <v>0</v>
      </c>
      <c r="L10" t="s">
        <v>51</v>
      </c>
      <c r="M10">
        <v>61.234208057090903</v>
      </c>
      <c r="N10">
        <v>0</v>
      </c>
      <c r="O10">
        <v>61.234208057090903</v>
      </c>
      <c r="P10">
        <v>0</v>
      </c>
      <c r="Q10">
        <f>M10*N46</f>
        <v>65.287463172521669</v>
      </c>
      <c r="S10">
        <v>0</v>
      </c>
      <c r="V10" t="s">
        <v>52</v>
      </c>
    </row>
    <row r="11" spans="1:27" x14ac:dyDescent="0.25">
      <c r="A11" t="s">
        <v>53</v>
      </c>
      <c r="B11">
        <v>47.050800000000002</v>
      </c>
      <c r="C11">
        <v>21.341899999999999</v>
      </c>
      <c r="E11" s="2" t="s">
        <v>54</v>
      </c>
      <c r="F11" s="2" t="s">
        <v>55</v>
      </c>
      <c r="G11" s="2" t="s">
        <v>56</v>
      </c>
      <c r="H11" s="2"/>
      <c r="L11" t="s">
        <v>13</v>
      </c>
      <c r="R11">
        <f>SUM(R5:R10)</f>
        <v>513.78702305293893</v>
      </c>
      <c r="S11">
        <f>SUM(S5:S10)</f>
        <v>513.78702305293882</v>
      </c>
      <c r="V11" t="s">
        <v>57</v>
      </c>
    </row>
    <row r="12" spans="1:27" x14ac:dyDescent="0.25">
      <c r="A12" t="s">
        <v>58</v>
      </c>
      <c r="B12">
        <v>1.0692999999999999</v>
      </c>
      <c r="C12">
        <v>0.48499999999999999</v>
      </c>
      <c r="E12" t="s">
        <v>59</v>
      </c>
      <c r="F12">
        <v>4.3999999999999997E-2</v>
      </c>
      <c r="G12">
        <v>4.4000000000000004</v>
      </c>
      <c r="L12" t="s">
        <v>14</v>
      </c>
      <c r="Q12" s="20">
        <f>SUM(Q5:Q10)</f>
        <v>2762.2580620831613</v>
      </c>
    </row>
    <row r="13" spans="1:27" x14ac:dyDescent="0.25">
      <c r="A13" t="s">
        <v>60</v>
      </c>
      <c r="B13">
        <v>14.035</v>
      </c>
      <c r="C13">
        <v>6.3662000000000001</v>
      </c>
      <c r="E13" t="s">
        <v>61</v>
      </c>
      <c r="F13">
        <v>0.35399999999999998</v>
      </c>
      <c r="G13">
        <v>35.4</v>
      </c>
      <c r="Q13">
        <f>SUM(Q5:Q8)</f>
        <v>2696.9389157099295</v>
      </c>
    </row>
    <row r="14" spans="1:27" x14ac:dyDescent="0.25">
      <c r="A14" t="s">
        <v>62</v>
      </c>
      <c r="B14">
        <v>11.0944</v>
      </c>
      <c r="C14">
        <v>5.0323000000000002</v>
      </c>
      <c r="E14" t="s">
        <v>63</v>
      </c>
      <c r="F14">
        <v>0.19633999999999999</v>
      </c>
      <c r="G14">
        <v>19.63</v>
      </c>
    </row>
    <row r="15" spans="1:27" x14ac:dyDescent="0.25">
      <c r="A15" t="s">
        <v>64</v>
      </c>
      <c r="B15">
        <v>2.4060000000000001</v>
      </c>
      <c r="C15">
        <v>1.0912999999999999</v>
      </c>
      <c r="E15" t="s">
        <v>65</v>
      </c>
      <c r="F15">
        <v>0.40566000000000002</v>
      </c>
      <c r="G15">
        <v>40.57</v>
      </c>
      <c r="L15" t="s">
        <v>66</v>
      </c>
    </row>
    <row r="16" spans="1:27" x14ac:dyDescent="0.25">
      <c r="A16" t="s">
        <v>67</v>
      </c>
      <c r="B16">
        <v>183.5249</v>
      </c>
      <c r="C16">
        <v>83.245500000000007</v>
      </c>
      <c r="E16" t="s">
        <v>68</v>
      </c>
      <c r="F16">
        <v>157.76</v>
      </c>
      <c r="M16" t="s">
        <v>69</v>
      </c>
      <c r="N16" t="s">
        <v>70</v>
      </c>
      <c r="O16" t="s">
        <v>71</v>
      </c>
      <c r="P16" t="s">
        <v>72</v>
      </c>
      <c r="Q16" t="s">
        <v>73</v>
      </c>
      <c r="R16" t="s">
        <v>74</v>
      </c>
      <c r="S16" t="s">
        <v>75</v>
      </c>
      <c r="U16" s="5"/>
      <c r="V16" s="5" t="s">
        <v>31</v>
      </c>
      <c r="W16" s="5" t="s">
        <v>76</v>
      </c>
      <c r="X16" s="5" t="s">
        <v>40</v>
      </c>
      <c r="Y16" s="5" t="s">
        <v>77</v>
      </c>
      <c r="Z16" s="5" t="s">
        <v>78</v>
      </c>
      <c r="AA16" s="5" t="s">
        <v>79</v>
      </c>
    </row>
    <row r="17" spans="1:27" x14ac:dyDescent="0.25">
      <c r="A17" t="s">
        <v>80</v>
      </c>
      <c r="B17">
        <v>77.927899999999994</v>
      </c>
      <c r="C17">
        <v>35.347499999999997</v>
      </c>
      <c r="L17" t="s">
        <v>81</v>
      </c>
      <c r="U17" s="5" t="s">
        <v>82</v>
      </c>
      <c r="V17" s="5"/>
      <c r="W17" s="5"/>
      <c r="X17" s="5" t="s">
        <v>83</v>
      </c>
      <c r="Y17" s="5"/>
      <c r="Z17" s="5"/>
      <c r="AA17" s="5"/>
    </row>
    <row r="18" spans="1:27" x14ac:dyDescent="0.25">
      <c r="A18" t="s">
        <v>84</v>
      </c>
      <c r="B18">
        <v>0.40100000000000002</v>
      </c>
      <c r="C18">
        <v>0.18190000000000001</v>
      </c>
      <c r="G18">
        <f>G12*C4/100</f>
        <v>7.3602848000000005</v>
      </c>
      <c r="L18" t="s">
        <v>85</v>
      </c>
      <c r="M18">
        <v>248.90234699300731</v>
      </c>
      <c r="N18">
        <v>14.625495742340391</v>
      </c>
      <c r="O18">
        <v>0</v>
      </c>
      <c r="P18">
        <v>1.112425036114816</v>
      </c>
      <c r="Q18">
        <v>18.48717368750534</v>
      </c>
      <c r="R18">
        <v>84.690348231192786</v>
      </c>
      <c r="S18">
        <v>115.488891867699</v>
      </c>
      <c r="U18" s="5" t="s">
        <v>85</v>
      </c>
      <c r="V18" s="5">
        <v>4.2403736024412948E-2</v>
      </c>
      <c r="W18" s="5">
        <v>9.3501426183255382E-2</v>
      </c>
      <c r="X18" s="5">
        <v>2.529241569205385E-2</v>
      </c>
      <c r="Y18" s="5">
        <v>1.4602806539523609E-2</v>
      </c>
      <c r="Z18" s="5">
        <v>4.6802945320607858E-3</v>
      </c>
      <c r="AA18" s="5">
        <v>1.645729457647287E-2</v>
      </c>
    </row>
    <row r="19" spans="1:27" x14ac:dyDescent="0.25">
      <c r="A19" t="s">
        <v>86</v>
      </c>
      <c r="B19">
        <v>4.1436999999999999</v>
      </c>
      <c r="C19">
        <v>1.8794999999999999</v>
      </c>
      <c r="E19" t="s">
        <v>87</v>
      </c>
      <c r="F19">
        <f>23.948</f>
        <v>23.948</v>
      </c>
      <c r="G19">
        <f>6.941/F19</f>
        <v>0.28983631200935361</v>
      </c>
      <c r="L19" t="s">
        <v>88</v>
      </c>
      <c r="M19">
        <v>233.20584892021739</v>
      </c>
      <c r="N19">
        <v>13.441564210118781</v>
      </c>
      <c r="O19">
        <v>0</v>
      </c>
      <c r="P19">
        <v>0.90126275484362661</v>
      </c>
      <c r="Q19">
        <v>17.624372820643121</v>
      </c>
      <c r="R19">
        <v>79.740463990992893</v>
      </c>
      <c r="S19">
        <v>112.6296965269582</v>
      </c>
      <c r="U19" s="5" t="s">
        <v>88</v>
      </c>
      <c r="V19" s="5">
        <v>3.992593956052469E-2</v>
      </c>
      <c r="W19" s="5">
        <v>6.3763299477138574E-2</v>
      </c>
      <c r="X19" s="5">
        <v>1.9665277127219511E-2</v>
      </c>
      <c r="Y19" s="5">
        <v>1.3581185834154109E-2</v>
      </c>
      <c r="Z19" s="5">
        <v>3.8548277644597892E-3</v>
      </c>
      <c r="AA19" s="5">
        <v>1.378282279360858E-2</v>
      </c>
    </row>
    <row r="20" spans="1:27" x14ac:dyDescent="0.25">
      <c r="A20" t="s">
        <v>89</v>
      </c>
      <c r="B20">
        <v>49.7241</v>
      </c>
      <c r="C20">
        <v>22.554500000000001</v>
      </c>
      <c r="L20" t="s">
        <v>90</v>
      </c>
      <c r="M20">
        <v>131.10891623405519</v>
      </c>
      <c r="N20">
        <v>1.3655942149624369</v>
      </c>
      <c r="O20">
        <v>0</v>
      </c>
      <c r="P20">
        <v>0.2437341819975177</v>
      </c>
      <c r="Q20">
        <v>0.9948756606452277</v>
      </c>
      <c r="R20">
        <v>10.902275370335889</v>
      </c>
      <c r="S20">
        <v>80.839687587516877</v>
      </c>
      <c r="U20" s="5" t="s">
        <v>90</v>
      </c>
      <c r="V20" s="5">
        <v>5.4538109741785884E-3</v>
      </c>
      <c r="W20" s="5">
        <v>2.7877329036997571E-2</v>
      </c>
      <c r="X20" s="5">
        <v>6.3053565367288166E-3</v>
      </c>
      <c r="Y20" s="5">
        <v>1.03930063391589E-2</v>
      </c>
      <c r="Z20" s="5">
        <v>1.0418458353268259E-3</v>
      </c>
      <c r="AA20" s="5">
        <v>2.6814986882752168E-3</v>
      </c>
    </row>
    <row r="21" spans="1:27" x14ac:dyDescent="0.25">
      <c r="A21" t="s">
        <v>91</v>
      </c>
      <c r="B21">
        <v>8.9557000000000002</v>
      </c>
      <c r="C21">
        <v>4.0621999999999998</v>
      </c>
      <c r="L21" t="s">
        <v>92</v>
      </c>
      <c r="M21">
        <v>47.058772525974831</v>
      </c>
      <c r="N21">
        <v>6.8058443437491833</v>
      </c>
      <c r="O21">
        <v>0</v>
      </c>
      <c r="P21">
        <v>0.36622189881190897</v>
      </c>
      <c r="Q21">
        <v>11.60033159843692</v>
      </c>
      <c r="R21">
        <v>37.166606365951978</v>
      </c>
      <c r="S21">
        <v>5.5696325243508289</v>
      </c>
      <c r="U21" s="5" t="s">
        <v>92</v>
      </c>
      <c r="V21" s="5">
        <v>1.8633954539435449E-2</v>
      </c>
      <c r="W21" s="5">
        <v>2.6903538869066639E-2</v>
      </c>
      <c r="X21" s="5">
        <v>9.5336187949735928E-3</v>
      </c>
      <c r="Y21" s="5">
        <v>3.2913879900325002E-3</v>
      </c>
      <c r="Z21" s="5">
        <v>2.7820945717948048E-3</v>
      </c>
      <c r="AA21" s="5">
        <v>1.0475315895142849E-2</v>
      </c>
    </row>
    <row r="22" spans="1:27" x14ac:dyDescent="0.25">
      <c r="A22" s="1" t="s">
        <v>93</v>
      </c>
      <c r="B22" s="1">
        <v>1336.67</v>
      </c>
      <c r="C22" s="1">
        <v>606.29999999999995</v>
      </c>
      <c r="L22" t="s">
        <v>94</v>
      </c>
      <c r="M22">
        <v>55.038160160187381</v>
      </c>
      <c r="N22">
        <v>5.2701256514071551</v>
      </c>
      <c r="O22">
        <v>0</v>
      </c>
      <c r="P22">
        <v>0.29130667403420007</v>
      </c>
      <c r="Q22">
        <v>5.0291655615609736</v>
      </c>
      <c r="R22">
        <v>31.671582254705012</v>
      </c>
      <c r="S22">
        <v>26.220376415090509</v>
      </c>
      <c r="U22" s="5" t="s">
        <v>94</v>
      </c>
      <c r="V22" s="5">
        <v>1.5838174046910649E-2</v>
      </c>
      <c r="W22" s="5">
        <v>8.9824315710743605E-3</v>
      </c>
      <c r="X22" s="5">
        <v>3.826301795517096E-3</v>
      </c>
      <c r="Y22" s="5">
        <v>-1.032084950373005E-4</v>
      </c>
      <c r="Z22" s="5">
        <v>3.0887357338157752E-5</v>
      </c>
      <c r="AA22" s="5">
        <v>6.2600821019051229E-4</v>
      </c>
    </row>
    <row r="23" spans="1:27" x14ac:dyDescent="0.25">
      <c r="L23" t="s">
        <v>95</v>
      </c>
      <c r="M23">
        <v>25181.043985030588</v>
      </c>
      <c r="N23">
        <v>8822.6720088080183</v>
      </c>
      <c r="O23">
        <v>0</v>
      </c>
      <c r="P23">
        <v>74.751848203411001</v>
      </c>
      <c r="Q23">
        <v>5937.2881295828884</v>
      </c>
      <c r="R23">
        <v>2309.7880889641951</v>
      </c>
      <c r="S23">
        <v>11868.198396496789</v>
      </c>
      <c r="U23" s="5" t="s">
        <v>96</v>
      </c>
      <c r="V23" s="5">
        <v>1.1558742570416609</v>
      </c>
      <c r="W23" s="5">
        <v>37.783915581555782</v>
      </c>
      <c r="X23" s="5">
        <v>2.929060161384748</v>
      </c>
      <c r="Y23" s="5">
        <v>0.40197833277376849</v>
      </c>
      <c r="Z23" s="5">
        <v>0.27501018265110427</v>
      </c>
      <c r="AA23" s="5">
        <v>2.7176971597957418</v>
      </c>
    </row>
    <row r="24" spans="1:27" x14ac:dyDescent="0.25">
      <c r="A24" t="s">
        <v>97</v>
      </c>
      <c r="C24">
        <f>SUM(C4:C15)-F25</f>
        <v>402.94716760563392</v>
      </c>
      <c r="E24" t="s">
        <v>98</v>
      </c>
      <c r="F24">
        <f>C8</f>
        <v>75.848600000000005</v>
      </c>
      <c r="L24" t="s">
        <v>99</v>
      </c>
      <c r="U24" s="5" t="s">
        <v>100</v>
      </c>
      <c r="V24" s="5"/>
      <c r="W24" s="5"/>
      <c r="X24" s="5" t="s">
        <v>83</v>
      </c>
      <c r="Y24" s="5"/>
      <c r="Z24" s="5"/>
      <c r="AA24" s="5"/>
    </row>
    <row r="25" spans="1:27" x14ac:dyDescent="0.25">
      <c r="E25" t="s">
        <v>101</v>
      </c>
      <c r="F25">
        <f>C8*G42</f>
        <v>56.085232394366201</v>
      </c>
      <c r="L25" t="s">
        <v>102</v>
      </c>
      <c r="M25">
        <v>4243.918298748712</v>
      </c>
      <c r="N25">
        <v>436.79828559085291</v>
      </c>
      <c r="O25">
        <v>0</v>
      </c>
      <c r="P25">
        <v>9.6203875087321009</v>
      </c>
      <c r="Q25">
        <v>1463.9359000304601</v>
      </c>
      <c r="R25">
        <v>1307.853753781365</v>
      </c>
      <c r="S25">
        <v>1880.463551195518</v>
      </c>
      <c r="U25" s="5" t="s">
        <v>102</v>
      </c>
      <c r="V25" s="5">
        <v>0.65416776834006929</v>
      </c>
      <c r="W25" s="5">
        <v>1.0756207314326569</v>
      </c>
      <c r="X25" s="5">
        <v>0.50095205865538406</v>
      </c>
      <c r="Y25" s="5">
        <v>1.5742684083172149</v>
      </c>
      <c r="Z25" s="5">
        <v>0.14622852105023179</v>
      </c>
      <c r="AA25" s="5">
        <v>0.47121783597763639</v>
      </c>
    </row>
    <row r="26" spans="1:27" x14ac:dyDescent="0.25">
      <c r="A26" s="1" t="s">
        <v>103</v>
      </c>
      <c r="E26" t="s">
        <v>104</v>
      </c>
      <c r="F26">
        <f>F24-F25</f>
        <v>19.763367605633803</v>
      </c>
      <c r="L26" t="s">
        <v>105</v>
      </c>
      <c r="M26">
        <v>14302.819050358639</v>
      </c>
      <c r="N26">
        <v>1147.681612834893</v>
      </c>
      <c r="O26">
        <v>0</v>
      </c>
      <c r="P26">
        <v>37.373677980821498</v>
      </c>
      <c r="Q26">
        <v>2193.9516928275889</v>
      </c>
      <c r="R26">
        <v>37385.679853064597</v>
      </c>
      <c r="S26">
        <v>8231.1430965620202</v>
      </c>
      <c r="U26" s="5" t="s">
        <v>105</v>
      </c>
      <c r="V26" s="5">
        <v>18.692739738132641</v>
      </c>
      <c r="W26" s="5">
        <v>2.9853743526658252</v>
      </c>
      <c r="X26" s="5">
        <v>1.262344713309304</v>
      </c>
      <c r="Y26" s="5">
        <v>11.041738923090669</v>
      </c>
      <c r="Z26" s="5">
        <v>1.7710891793891279</v>
      </c>
      <c r="AA26" s="5">
        <v>0.81068111864276371</v>
      </c>
    </row>
    <row r="27" spans="1:27" x14ac:dyDescent="0.25">
      <c r="A27" s="4" t="s">
        <v>106</v>
      </c>
      <c r="L27" t="s">
        <v>107</v>
      </c>
      <c r="M27">
        <v>35484.383743546197</v>
      </c>
      <c r="N27">
        <v>6756.5411450069878</v>
      </c>
      <c r="O27">
        <v>0</v>
      </c>
      <c r="P27">
        <v>78.490964543838032</v>
      </c>
      <c r="Q27">
        <v>7574.669142079576</v>
      </c>
      <c r="R27">
        <v>4364.253252359068</v>
      </c>
      <c r="S27">
        <v>16298.928401145249</v>
      </c>
      <c r="U27" s="5" t="s">
        <v>107</v>
      </c>
      <c r="V27" s="5">
        <v>2.1896353994083699</v>
      </c>
      <c r="W27" s="5">
        <v>6.2569281648687101</v>
      </c>
      <c r="X27" s="5">
        <v>2.1392642056133879</v>
      </c>
      <c r="Y27" s="5">
        <v>1.4433378708395459</v>
      </c>
      <c r="Z27" s="5">
        <v>0.32652808075065792</v>
      </c>
      <c r="AA27" s="5">
        <v>1.3772535039449429</v>
      </c>
    </row>
    <row r="28" spans="1:27" x14ac:dyDescent="0.25">
      <c r="A28" s="4" t="s">
        <v>108</v>
      </c>
      <c r="G28" t="s">
        <v>2</v>
      </c>
      <c r="H28" t="s">
        <v>197</v>
      </c>
      <c r="L28" t="s">
        <v>109</v>
      </c>
      <c r="M28">
        <v>4952.2458691485199</v>
      </c>
      <c r="N28">
        <v>1175.3234540111141</v>
      </c>
      <c r="O28">
        <v>0</v>
      </c>
      <c r="P28">
        <v>10.96361730463819</v>
      </c>
      <c r="Q28">
        <v>1013.891415438068</v>
      </c>
      <c r="R28">
        <v>479.31490948688639</v>
      </c>
      <c r="S28">
        <v>2957.151822721909</v>
      </c>
      <c r="U28" s="5" t="s">
        <v>109</v>
      </c>
      <c r="V28" s="5">
        <v>0.24021639256614291</v>
      </c>
      <c r="W28" s="5">
        <v>1.3419315614827489</v>
      </c>
      <c r="X28" s="5">
        <v>0.34693161735867512</v>
      </c>
      <c r="Y28" s="5">
        <v>0.76072345663024232</v>
      </c>
      <c r="Z28" s="5">
        <v>0.32905941001022049</v>
      </c>
      <c r="AA28" s="5">
        <v>0.29194243138737652</v>
      </c>
    </row>
    <row r="29" spans="1:27" x14ac:dyDescent="0.25">
      <c r="A29" s="4" t="s">
        <v>110</v>
      </c>
      <c r="G29" t="s">
        <v>207</v>
      </c>
      <c r="H29">
        <v>0</v>
      </c>
      <c r="L29" t="s">
        <v>111</v>
      </c>
      <c r="M29">
        <v>3612.8563944210218</v>
      </c>
      <c r="N29">
        <v>956.68596514686271</v>
      </c>
      <c r="O29">
        <v>0</v>
      </c>
      <c r="P29">
        <v>6.1924533526528087</v>
      </c>
      <c r="Q29">
        <v>850.38647111495447</v>
      </c>
      <c r="R29">
        <v>294.83967554586411</v>
      </c>
      <c r="S29">
        <v>2090.0694740561739</v>
      </c>
      <c r="U29" s="5" t="s">
        <v>111</v>
      </c>
      <c r="V29" s="5">
        <v>0.1479149074864472</v>
      </c>
      <c r="W29" s="5">
        <v>1.448320139239182</v>
      </c>
      <c r="X29" s="5">
        <v>0.2367788117303441</v>
      </c>
      <c r="Y29" s="5">
        <v>0.36380852132897701</v>
      </c>
      <c r="Z29" s="5">
        <v>0.16847068080993521</v>
      </c>
      <c r="AA29" s="5">
        <v>0.23404745192834719</v>
      </c>
    </row>
    <row r="30" spans="1:27" x14ac:dyDescent="0.25">
      <c r="A30" s="4" t="s">
        <v>112</v>
      </c>
      <c r="G30" t="s">
        <v>10</v>
      </c>
      <c r="H30">
        <v>0.95</v>
      </c>
      <c r="L30" t="s">
        <v>113</v>
      </c>
      <c r="M30">
        <v>28527.039207943839</v>
      </c>
      <c r="N30">
        <v>11678.53985506235</v>
      </c>
      <c r="O30">
        <v>0</v>
      </c>
      <c r="P30">
        <v>46.594274195360427</v>
      </c>
      <c r="Q30">
        <v>9506.9171703537249</v>
      </c>
      <c r="R30">
        <v>1500.9258445798309</v>
      </c>
      <c r="S30">
        <v>13860.016809021319</v>
      </c>
      <c r="U30" s="5" t="s">
        <v>113</v>
      </c>
      <c r="V30" s="5">
        <v>0.75412685462635998</v>
      </c>
      <c r="W30" s="5">
        <v>17.736062761459792</v>
      </c>
      <c r="X30" s="5">
        <v>1.9511901921089041</v>
      </c>
      <c r="Y30" s="5">
        <v>5.5083069363156394</v>
      </c>
      <c r="Z30" s="5">
        <v>0.28608705897754921</v>
      </c>
      <c r="AA30" s="5">
        <v>1.2321048167482169</v>
      </c>
    </row>
    <row r="31" spans="1:27" x14ac:dyDescent="0.25">
      <c r="A31" s="4" t="s">
        <v>114</v>
      </c>
      <c r="G31" t="s">
        <v>9</v>
      </c>
      <c r="H31">
        <v>0.93</v>
      </c>
      <c r="L31" t="s">
        <v>115</v>
      </c>
      <c r="M31">
        <v>445.44711702359609</v>
      </c>
      <c r="N31">
        <v>72.941055325340159</v>
      </c>
      <c r="O31">
        <v>0</v>
      </c>
      <c r="P31">
        <v>0.41760632666407382</v>
      </c>
      <c r="Q31">
        <v>81.342636871198778</v>
      </c>
      <c r="R31">
        <v>25.19070115035888</v>
      </c>
      <c r="S31">
        <v>193.61539993245361</v>
      </c>
      <c r="U31" s="5" t="s">
        <v>115</v>
      </c>
      <c r="V31" s="5">
        <v>1.265560144070977E-2</v>
      </c>
      <c r="W31" s="5">
        <v>2.5122321338963551E-2</v>
      </c>
      <c r="X31" s="5">
        <v>1.116570325461755E-2</v>
      </c>
      <c r="Y31" s="5">
        <v>4.4037466219032564E-3</v>
      </c>
      <c r="Z31" s="5">
        <v>1.5171555199421901E-3</v>
      </c>
      <c r="AA31" s="5">
        <v>7.2524387877371177E-3</v>
      </c>
    </row>
    <row r="32" spans="1:27" x14ac:dyDescent="0.25">
      <c r="A32" s="4" t="s">
        <v>116</v>
      </c>
      <c r="G32" t="s">
        <v>8</v>
      </c>
      <c r="H32">
        <v>0.96</v>
      </c>
      <c r="L32" t="s">
        <v>117</v>
      </c>
      <c r="M32">
        <v>898.33814141114328</v>
      </c>
      <c r="N32">
        <v>172.46566844118291</v>
      </c>
      <c r="O32">
        <v>0</v>
      </c>
      <c r="P32">
        <v>1.130015988715642</v>
      </c>
      <c r="Q32">
        <v>200.40747901647731</v>
      </c>
      <c r="R32">
        <v>68.415774255895883</v>
      </c>
      <c r="S32">
        <v>363.22674955424509</v>
      </c>
      <c r="U32" s="5" t="s">
        <v>117</v>
      </c>
      <c r="V32" s="5">
        <v>3.4406760838325688E-2</v>
      </c>
      <c r="W32" s="5">
        <v>6.5050676480171835E-2</v>
      </c>
      <c r="X32" s="5">
        <v>3.4386218006003957E-2</v>
      </c>
      <c r="Y32" s="5">
        <v>1.258003957026795E-2</v>
      </c>
      <c r="Z32" s="5">
        <v>5.3704787084454539E-3</v>
      </c>
      <c r="AA32" s="5">
        <v>1.9536673007940059E-2</v>
      </c>
    </row>
    <row r="33" spans="1:27" x14ac:dyDescent="0.25">
      <c r="A33" s="4" t="s">
        <v>118</v>
      </c>
      <c r="G33" t="s">
        <v>573</v>
      </c>
      <c r="H33">
        <v>0.84</v>
      </c>
      <c r="L33" t="s">
        <v>119</v>
      </c>
      <c r="M33">
        <v>32555.142765901921</v>
      </c>
      <c r="N33">
        <v>1701.216986857135</v>
      </c>
      <c r="O33">
        <v>0</v>
      </c>
      <c r="P33">
        <v>116.9577443394795</v>
      </c>
      <c r="Q33">
        <v>2346.583958674405</v>
      </c>
      <c r="R33">
        <v>165620.99590560611</v>
      </c>
      <c r="S33">
        <v>15143.69440494278</v>
      </c>
      <c r="U33" s="5" t="s">
        <v>119</v>
      </c>
      <c r="V33" s="5">
        <v>82.827668291930109</v>
      </c>
      <c r="W33" s="5">
        <v>10.0044561936564</v>
      </c>
      <c r="X33" s="5">
        <v>2.7463703967292772</v>
      </c>
      <c r="Y33" s="5">
        <v>2.0495350379088402</v>
      </c>
      <c r="Z33" s="5">
        <v>0.57012165303989248</v>
      </c>
      <c r="AA33" s="5">
        <v>2.1216792802750368</v>
      </c>
    </row>
    <row r="34" spans="1:27" x14ac:dyDescent="0.25">
      <c r="A34" s="4" t="s">
        <v>120</v>
      </c>
      <c r="G34" t="s">
        <v>574</v>
      </c>
      <c r="H34">
        <v>0.84</v>
      </c>
      <c r="L34" t="s">
        <v>121</v>
      </c>
      <c r="M34">
        <v>271.19333015801971</v>
      </c>
      <c r="N34">
        <v>24.113304937588541</v>
      </c>
      <c r="O34">
        <v>0</v>
      </c>
      <c r="P34">
        <v>1.3505699999348071</v>
      </c>
      <c r="Q34">
        <v>28.397738556501668</v>
      </c>
      <c r="R34">
        <v>70.142364098033852</v>
      </c>
      <c r="S34">
        <v>77.921668413664136</v>
      </c>
      <c r="U34" s="5" t="s">
        <v>121</v>
      </c>
      <c r="V34" s="5">
        <v>3.5543274252760639E-2</v>
      </c>
      <c r="W34" s="5">
        <v>9.8901242957514693E-2</v>
      </c>
      <c r="X34" s="5">
        <v>0.48251745962359899</v>
      </c>
      <c r="Y34" s="5">
        <v>1.130003302314958E-2</v>
      </c>
      <c r="Z34" s="5">
        <v>6.6418678823458978E-3</v>
      </c>
      <c r="AA34" s="5">
        <v>2.567067794468509E-2</v>
      </c>
    </row>
    <row r="35" spans="1:27" x14ac:dyDescent="0.25">
      <c r="G35" t="s">
        <v>575</v>
      </c>
      <c r="H35">
        <v>0.84</v>
      </c>
      <c r="L35" t="s">
        <v>122</v>
      </c>
      <c r="M35">
        <v>20539323.662644591</v>
      </c>
      <c r="N35">
        <v>965206.73106171936</v>
      </c>
      <c r="O35">
        <v>0</v>
      </c>
      <c r="P35">
        <v>69974.208762474023</v>
      </c>
      <c r="Q35">
        <v>1213824.1667886181</v>
      </c>
      <c r="R35">
        <v>2932958.8066708869</v>
      </c>
      <c r="S35">
        <v>10726257.50370804</v>
      </c>
      <c r="U35" s="5" t="s">
        <v>122</v>
      </c>
      <c r="V35" s="5">
        <v>1469.816822442938</v>
      </c>
      <c r="W35" s="5">
        <v>5952.1962980944618</v>
      </c>
      <c r="X35" s="5">
        <v>1533.6993207108751</v>
      </c>
      <c r="Y35" s="5">
        <v>1260.3480744177621</v>
      </c>
      <c r="Z35" s="5">
        <v>271.93694203406778</v>
      </c>
      <c r="AA35" s="5">
        <v>981.07828346368183</v>
      </c>
    </row>
    <row r="36" spans="1:27" x14ac:dyDescent="0.25">
      <c r="G36" t="s">
        <v>191</v>
      </c>
      <c r="H36">
        <v>0.91</v>
      </c>
      <c r="L36" t="s">
        <v>123</v>
      </c>
      <c r="U36" s="5" t="s">
        <v>124</v>
      </c>
      <c r="V36" s="5">
        <v>1501.2299506237109</v>
      </c>
      <c r="W36" s="5">
        <v>5960.2399519282844</v>
      </c>
      <c r="X36" s="5">
        <v>1537.24430584317</v>
      </c>
      <c r="Y36" s="5">
        <v>1282.60584831235</v>
      </c>
      <c r="Z36" s="5">
        <v>275.17582773038112</v>
      </c>
      <c r="AA36" s="5">
        <v>983.82083985796498</v>
      </c>
    </row>
    <row r="37" spans="1:27" x14ac:dyDescent="0.25">
      <c r="G37" t="s">
        <v>576</v>
      </c>
      <c r="H37">
        <v>0.9</v>
      </c>
      <c r="L37" t="s">
        <v>102</v>
      </c>
      <c r="M37">
        <v>188.5309425749129</v>
      </c>
      <c r="N37">
        <v>27.825041013166469</v>
      </c>
      <c r="O37">
        <v>0</v>
      </c>
      <c r="P37">
        <v>1.0348857738056889</v>
      </c>
      <c r="Q37">
        <v>30.96632912867889</v>
      </c>
      <c r="R37">
        <v>93.586695401349672</v>
      </c>
      <c r="S37">
        <v>74.522745841340253</v>
      </c>
      <c r="U37" s="6" t="s">
        <v>125</v>
      </c>
      <c r="V37" s="6">
        <v>3979.1977795942312</v>
      </c>
      <c r="W37" s="6">
        <v>6517.9237056296661</v>
      </c>
      <c r="X37" s="6">
        <v>1750.813410142945</v>
      </c>
      <c r="Y37" s="6">
        <v>1346.766901457353</v>
      </c>
      <c r="Z37" s="6">
        <v>293.97868292285028</v>
      </c>
      <c r="AA37" s="6">
        <v>1068.1303672536019</v>
      </c>
    </row>
    <row r="38" spans="1:27" x14ac:dyDescent="0.25">
      <c r="L38" t="s">
        <v>105</v>
      </c>
      <c r="M38">
        <v>669.33780111588726</v>
      </c>
      <c r="N38">
        <v>69.713973784535625</v>
      </c>
      <c r="O38">
        <v>0</v>
      </c>
      <c r="P38">
        <v>4.8107834906856706</v>
      </c>
      <c r="Q38">
        <v>81.016229563067611</v>
      </c>
      <c r="R38">
        <v>228.50113805721219</v>
      </c>
      <c r="S38">
        <v>143.550044275022</v>
      </c>
      <c r="U38" s="5" t="s">
        <v>126</v>
      </c>
      <c r="V38" s="5"/>
      <c r="W38" s="5"/>
      <c r="X38" s="5" t="s">
        <v>83</v>
      </c>
      <c r="Y38" s="5"/>
      <c r="Z38" s="5"/>
      <c r="AA38" s="5"/>
    </row>
    <row r="39" spans="1:27" x14ac:dyDescent="0.25">
      <c r="A39" t="s">
        <v>127</v>
      </c>
      <c r="L39" t="s">
        <v>128</v>
      </c>
      <c r="M39">
        <v>1439.945276233504</v>
      </c>
      <c r="N39">
        <v>338.28231984154041</v>
      </c>
      <c r="O39">
        <v>0</v>
      </c>
      <c r="P39">
        <v>9.6859793431654442</v>
      </c>
      <c r="Q39">
        <v>383.67569316629442</v>
      </c>
      <c r="R39">
        <v>374.81381197548581</v>
      </c>
      <c r="S39">
        <v>325.54597398594922</v>
      </c>
      <c r="U39" s="5" t="s">
        <v>102</v>
      </c>
      <c r="V39" s="5">
        <v>4.6796729453438803E-2</v>
      </c>
      <c r="W39" s="5">
        <v>4.8101528301944342E-2</v>
      </c>
      <c r="X39" s="5">
        <v>1.9942111903999461E-2</v>
      </c>
      <c r="Y39" s="5">
        <v>2.7689780516382029E-3</v>
      </c>
      <c r="Z39" s="5">
        <v>2.4819348950531712E-3</v>
      </c>
      <c r="AA39" s="5">
        <v>9.3182219820127834E-3</v>
      </c>
    </row>
    <row r="40" spans="1:27" x14ac:dyDescent="0.25">
      <c r="A40" t="s">
        <v>129</v>
      </c>
      <c r="B40" t="s">
        <v>130</v>
      </c>
      <c r="C40" t="s">
        <v>131</v>
      </c>
      <c r="E40" t="s">
        <v>127</v>
      </c>
      <c r="F40" t="s">
        <v>132</v>
      </c>
      <c r="L40" t="s">
        <v>109</v>
      </c>
      <c r="M40">
        <v>153.83409674671739</v>
      </c>
      <c r="N40">
        <v>29.28464003526253</v>
      </c>
      <c r="O40">
        <v>0</v>
      </c>
      <c r="P40">
        <v>1.125951258733578</v>
      </c>
      <c r="Q40">
        <v>31.789143029508171</v>
      </c>
      <c r="R40">
        <v>38.534017529723357</v>
      </c>
      <c r="S40">
        <v>36.759981231661563</v>
      </c>
      <c r="U40" s="5" t="s">
        <v>105</v>
      </c>
      <c r="V40" s="5">
        <v>0.114150598824473</v>
      </c>
      <c r="W40" s="5">
        <v>0.33911812073249081</v>
      </c>
      <c r="X40" s="5">
        <v>0.11793377379204149</v>
      </c>
      <c r="Y40" s="5">
        <v>2.6098879772240308E-2</v>
      </c>
      <c r="Z40" s="5">
        <v>2.1348333339808508E-2</v>
      </c>
      <c r="AA40" s="5">
        <v>5.9694975380543809E-2</v>
      </c>
    </row>
    <row r="41" spans="1:27" x14ac:dyDescent="0.25">
      <c r="A41" t="s">
        <v>133</v>
      </c>
      <c r="B41" t="s">
        <v>134</v>
      </c>
      <c r="C41">
        <v>145.78</v>
      </c>
      <c r="E41" t="s">
        <v>135</v>
      </c>
      <c r="F41">
        <f>C46+C55+C61</f>
        <v>71</v>
      </c>
      <c r="L41" t="s">
        <v>111</v>
      </c>
      <c r="M41">
        <v>124.565110472773</v>
      </c>
      <c r="N41">
        <v>26.350106499761829</v>
      </c>
      <c r="O41">
        <v>0</v>
      </c>
      <c r="P41">
        <v>0.94456086447736609</v>
      </c>
      <c r="Q41">
        <v>28.775036306889099</v>
      </c>
      <c r="R41">
        <v>32.113793146498622</v>
      </c>
      <c r="S41">
        <v>30.07592460247675</v>
      </c>
      <c r="U41" s="5" t="s">
        <v>128</v>
      </c>
      <c r="V41" s="5">
        <v>0.18776352574345079</v>
      </c>
      <c r="W41" s="5">
        <v>0.70244873751899117</v>
      </c>
      <c r="X41" s="5">
        <v>0.25503096150502869</v>
      </c>
      <c r="Y41" s="5">
        <v>5.1733575860751543E-2</v>
      </c>
      <c r="Z41" s="5">
        <v>4.0337358940269817E-2</v>
      </c>
      <c r="AA41" s="5">
        <v>0.105469926433457</v>
      </c>
    </row>
    <row r="42" spans="1:27" x14ac:dyDescent="0.25">
      <c r="A42" t="s">
        <v>133</v>
      </c>
      <c r="B42" t="s">
        <v>136</v>
      </c>
      <c r="C42">
        <v>3.04</v>
      </c>
      <c r="E42" t="s">
        <v>101</v>
      </c>
      <c r="F42">
        <f>C55+C61</f>
        <v>52.5</v>
      </c>
      <c r="G42" s="14">
        <f>F42/F41</f>
        <v>0.73943661971830987</v>
      </c>
      <c r="H42" s="14"/>
      <c r="L42" t="s">
        <v>113</v>
      </c>
      <c r="M42">
        <v>1479.3492092750021</v>
      </c>
      <c r="N42">
        <v>221.06541912214271</v>
      </c>
      <c r="O42">
        <v>0</v>
      </c>
      <c r="P42">
        <v>9.1371445470114701</v>
      </c>
      <c r="Q42">
        <v>240.8596900555774</v>
      </c>
      <c r="R42">
        <v>232.94797472766319</v>
      </c>
      <c r="S42">
        <v>305.78748448865798</v>
      </c>
      <c r="U42" s="5" t="s">
        <v>109</v>
      </c>
      <c r="V42" s="5">
        <v>1.9299563197852421E-2</v>
      </c>
      <c r="W42" s="5">
        <v>7.3860551462224117E-2</v>
      </c>
      <c r="X42" s="5">
        <v>2.750057221276913E-2</v>
      </c>
      <c r="Y42" s="5">
        <v>4.8809640082502284E-3</v>
      </c>
      <c r="Z42" s="5">
        <v>3.9815572193134217E-3</v>
      </c>
      <c r="AA42" s="5">
        <v>8.7658399018482689E-3</v>
      </c>
    </row>
    <row r="43" spans="1:27" x14ac:dyDescent="0.25">
      <c r="A43" t="s">
        <v>133</v>
      </c>
      <c r="B43" t="s">
        <v>74</v>
      </c>
      <c r="C43">
        <v>74.44</v>
      </c>
      <c r="L43" t="s">
        <v>115</v>
      </c>
      <c r="M43">
        <v>7.6057488941921854</v>
      </c>
      <c r="N43">
        <v>3.3920659780747342</v>
      </c>
      <c r="O43">
        <v>0</v>
      </c>
      <c r="P43">
        <v>5.1015627448604682E-2</v>
      </c>
      <c r="Q43">
        <v>3.894672845491451</v>
      </c>
      <c r="R43">
        <v>2.5383378908573602</v>
      </c>
      <c r="S43">
        <v>2.3014375476604898</v>
      </c>
      <c r="U43" s="5" t="s">
        <v>111</v>
      </c>
      <c r="V43" s="5">
        <v>1.6086015923671759E-2</v>
      </c>
      <c r="W43" s="5">
        <v>6.0024423549432541E-2</v>
      </c>
      <c r="X43" s="5">
        <v>2.297383951436827E-2</v>
      </c>
      <c r="Y43" s="5">
        <v>4.0787475601256383E-3</v>
      </c>
      <c r="Z43" s="5">
        <v>3.327628429072119E-3</v>
      </c>
      <c r="AA43" s="5">
        <v>7.2414510697180216E-3</v>
      </c>
    </row>
    <row r="44" spans="1:27" x14ac:dyDescent="0.25">
      <c r="A44" t="s">
        <v>133</v>
      </c>
      <c r="B44" t="s">
        <v>137</v>
      </c>
      <c r="C44">
        <v>4.5599999999999996</v>
      </c>
      <c r="E44" t="s">
        <v>138</v>
      </c>
      <c r="L44" t="s">
        <v>117</v>
      </c>
      <c r="M44">
        <v>19.55367053905897</v>
      </c>
      <c r="N44">
        <v>9.44863970736567</v>
      </c>
      <c r="O44">
        <v>0</v>
      </c>
      <c r="P44">
        <v>0.24457941051421489</v>
      </c>
      <c r="Q44">
        <v>10.53679841365914</v>
      </c>
      <c r="R44">
        <v>7.4517139106990768</v>
      </c>
      <c r="S44">
        <v>4.6561887255908578</v>
      </c>
      <c r="U44" s="5" t="s">
        <v>113</v>
      </c>
      <c r="V44" s="5">
        <v>0.1167272157613873</v>
      </c>
      <c r="W44" s="5">
        <v>0.72722318258249063</v>
      </c>
      <c r="X44" s="5">
        <v>0.24062203718247069</v>
      </c>
      <c r="Y44" s="5">
        <v>4.3139112477266123E-2</v>
      </c>
      <c r="Z44" s="5">
        <v>3.4999804581568497E-2</v>
      </c>
      <c r="AA44" s="5">
        <v>8.1023353809735341E-2</v>
      </c>
    </row>
    <row r="45" spans="1:27" x14ac:dyDescent="0.25">
      <c r="A45" t="s">
        <v>133</v>
      </c>
      <c r="B45" t="s">
        <v>40</v>
      </c>
      <c r="C45">
        <v>32</v>
      </c>
      <c r="E45" t="s">
        <v>98</v>
      </c>
      <c r="F45">
        <v>45.5</v>
      </c>
      <c r="L45" s="6" t="s">
        <v>139</v>
      </c>
      <c r="M45" s="6">
        <f t="shared" ref="M45:T45" si="1">M35*$M$55+SUM(M33:M34,$M$56:$M$57)+SUMPRODUCT(M25:M27,$M$60:$M$62)+SUMPRODUCT(M31:M32,$M$63:$M$64)</f>
        <v>20572452.798740651</v>
      </c>
      <c r="N45" s="6">
        <f t="shared" si="1"/>
        <v>967234.86135351413</v>
      </c>
      <c r="O45" s="6">
        <f t="shared" si="1"/>
        <v>302.8</v>
      </c>
      <c r="P45" s="6">
        <f t="shared" si="1"/>
        <v>70395.317076813444</v>
      </c>
      <c r="Q45" s="6">
        <f t="shared" si="1"/>
        <v>1216501.948485849</v>
      </c>
      <c r="R45" s="6">
        <f>R35*$M$55+SUM(R33:R34,$M$56:$M$57)+SUMPRODUCT(R25:R27,$M$60:$M$62)+SUMPRODUCT(R31:R32,$M$63:$M$64)</f>
        <v>3098952.744940591</v>
      </c>
      <c r="S45" s="6">
        <f>S35*$M$55+SUM(S33:S34,$M$56:$M$57)+SUMPRODUCT(S25:S27,$M$60:$M$62)+SUMPRODUCT(S31:S32,$M$63:$M$64)</f>
        <v>10741781.919781396</v>
      </c>
      <c r="U45" s="5" t="s">
        <v>115</v>
      </c>
      <c r="V45" s="5">
        <v>1.2724950047081701E-3</v>
      </c>
      <c r="W45" s="5">
        <v>2.9910563281969988E-3</v>
      </c>
      <c r="X45" s="5">
        <v>1.314018458085981E-3</v>
      </c>
      <c r="Y45" s="5">
        <v>1.8926925069675851E-4</v>
      </c>
      <c r="Z45" s="5">
        <v>1.5640516129445111E-4</v>
      </c>
      <c r="AA45" s="5">
        <v>3.7024357869892388E-4</v>
      </c>
    </row>
    <row r="46" spans="1:27" x14ac:dyDescent="0.25">
      <c r="A46" t="s">
        <v>133</v>
      </c>
      <c r="B46" t="s">
        <v>140</v>
      </c>
      <c r="C46">
        <v>18.5</v>
      </c>
      <c r="E46" t="s">
        <v>101</v>
      </c>
      <c r="F46">
        <v>38</v>
      </c>
      <c r="G46" s="14">
        <v>0.8351648351648352</v>
      </c>
      <c r="H46" s="14"/>
      <c r="L46" s="6" t="s">
        <v>141</v>
      </c>
      <c r="M46" s="6">
        <f t="shared" ref="M46:T46" si="2">1/2000*2.20462*M45/1000</f>
        <v>22.67722044457981</v>
      </c>
      <c r="N46" s="6">
        <f t="shared" si="2"/>
        <v>1.0661926600185923</v>
      </c>
      <c r="O46" s="6">
        <f t="shared" si="2"/>
        <v>3.33779468E-4</v>
      </c>
      <c r="P46" s="6">
        <f t="shared" si="2"/>
        <v>7.7597461966942227E-2</v>
      </c>
      <c r="Q46" s="6">
        <f t="shared" si="2"/>
        <v>1.3409622628354361</v>
      </c>
      <c r="R46" s="6">
        <f>1/2000*2.20462*R45/1000</f>
        <v>3.416006600275463</v>
      </c>
      <c r="S46" s="6">
        <f>1/2000*2.20462*S45/1000</f>
        <v>11.840773627994231</v>
      </c>
      <c r="U46" s="5" t="s">
        <v>117</v>
      </c>
      <c r="V46" s="5">
        <v>3.736316007827718E-3</v>
      </c>
      <c r="W46" s="5">
        <v>1.1516094314452529E-2</v>
      </c>
      <c r="X46" s="5">
        <v>5.7975643883269807E-3</v>
      </c>
      <c r="Y46" s="5">
        <v>1.141982031568122E-3</v>
      </c>
      <c r="Z46" s="5">
        <v>9.0140816152213467E-4</v>
      </c>
      <c r="AA46" s="5">
        <v>1.6928491865244419E-3</v>
      </c>
    </row>
    <row r="47" spans="1:27" x14ac:dyDescent="0.25">
      <c r="A47" t="s">
        <v>133</v>
      </c>
      <c r="B47" t="s">
        <v>45</v>
      </c>
      <c r="C47">
        <v>7.23</v>
      </c>
      <c r="U47" s="6" t="s">
        <v>141</v>
      </c>
      <c r="V47" s="6">
        <f t="shared" ref="V47:AA47" si="3">2.20462*V37/1000</f>
        <v>8.7726190088490323</v>
      </c>
      <c r="W47" s="6">
        <f t="shared" si="3"/>
        <v>14.369544959905273</v>
      </c>
      <c r="X47" s="6">
        <f t="shared" si="3"/>
        <v>3.8598782602693391</v>
      </c>
      <c r="Y47" s="6">
        <f t="shared" si="3"/>
        <v>2.969109246290909</v>
      </c>
      <c r="Z47" s="6">
        <f t="shared" si="3"/>
        <v>0.64811128394537409</v>
      </c>
      <c r="AA47" s="6">
        <f t="shared" si="3"/>
        <v>2.3548215702546353</v>
      </c>
    </row>
    <row r="48" spans="1:27" x14ac:dyDescent="0.25">
      <c r="A48" t="s">
        <v>133</v>
      </c>
      <c r="B48" t="s">
        <v>49</v>
      </c>
      <c r="C48">
        <v>20.190000000000001</v>
      </c>
    </row>
    <row r="49" spans="1:21" x14ac:dyDescent="0.25">
      <c r="A49" t="s">
        <v>133</v>
      </c>
      <c r="B49" t="s">
        <v>53</v>
      </c>
      <c r="C49">
        <v>20.190000000000001</v>
      </c>
    </row>
    <row r="50" spans="1:21" x14ac:dyDescent="0.25">
      <c r="A50" t="s">
        <v>133</v>
      </c>
      <c r="B50" t="s">
        <v>58</v>
      </c>
      <c r="C50">
        <v>3.23</v>
      </c>
    </row>
    <row r="51" spans="1:21" x14ac:dyDescent="0.25">
      <c r="A51" t="s">
        <v>133</v>
      </c>
      <c r="B51" t="s">
        <v>60</v>
      </c>
      <c r="C51">
        <v>0.72</v>
      </c>
      <c r="L51" s="5" t="s">
        <v>142</v>
      </c>
      <c r="M51" s="5"/>
    </row>
    <row r="52" spans="1:21" x14ac:dyDescent="0.25">
      <c r="A52" t="s">
        <v>133</v>
      </c>
      <c r="B52" t="s">
        <v>64</v>
      </c>
      <c r="C52">
        <v>0.82</v>
      </c>
      <c r="L52" s="5" t="s">
        <v>143</v>
      </c>
      <c r="M52" s="5"/>
      <c r="Q52" t="s">
        <v>144</v>
      </c>
    </row>
    <row r="53" spans="1:21" x14ac:dyDescent="0.25">
      <c r="A53" t="s">
        <v>133</v>
      </c>
      <c r="B53" t="s">
        <v>145</v>
      </c>
      <c r="C53">
        <v>331.57</v>
      </c>
      <c r="L53" s="5" t="s">
        <v>146</v>
      </c>
      <c r="M53" s="5" t="s">
        <v>147</v>
      </c>
      <c r="S53" t="s">
        <v>132</v>
      </c>
    </row>
    <row r="54" spans="1:21" x14ac:dyDescent="0.25">
      <c r="A54" t="s">
        <v>148</v>
      </c>
      <c r="B54" t="s">
        <v>40</v>
      </c>
      <c r="C54">
        <v>0.48</v>
      </c>
      <c r="L54" s="5" t="s">
        <v>149</v>
      </c>
      <c r="M54" s="5">
        <v>100</v>
      </c>
      <c r="S54" t="s">
        <v>93</v>
      </c>
    </row>
    <row r="55" spans="1:21" x14ac:dyDescent="0.25">
      <c r="A55" t="s">
        <v>148</v>
      </c>
      <c r="B55" t="s">
        <v>140</v>
      </c>
      <c r="C55">
        <v>16.13</v>
      </c>
      <c r="L55" s="5" t="s">
        <v>150</v>
      </c>
      <c r="M55" s="5">
        <v>1</v>
      </c>
      <c r="S55" t="s">
        <v>151</v>
      </c>
      <c r="T55" t="s">
        <v>152</v>
      </c>
      <c r="U55" t="s">
        <v>153</v>
      </c>
    </row>
    <row r="56" spans="1:21" x14ac:dyDescent="0.25">
      <c r="A56" t="s">
        <v>148</v>
      </c>
      <c r="B56" t="s">
        <v>60</v>
      </c>
      <c r="C56">
        <v>0.13</v>
      </c>
      <c r="L56" s="5" t="s">
        <v>154</v>
      </c>
      <c r="M56" s="5">
        <v>29.8</v>
      </c>
      <c r="Q56" t="s">
        <v>155</v>
      </c>
    </row>
    <row r="57" spans="1:21" x14ac:dyDescent="0.25">
      <c r="A57" t="s">
        <v>148</v>
      </c>
      <c r="B57" t="s">
        <v>156</v>
      </c>
      <c r="C57">
        <v>0.12</v>
      </c>
      <c r="L57" s="5" t="s">
        <v>157</v>
      </c>
      <c r="M57" s="5">
        <v>273</v>
      </c>
      <c r="Q57" t="s">
        <v>85</v>
      </c>
      <c r="S57">
        <v>3.3023140572429059</v>
      </c>
      <c r="T57">
        <v>6.351985514664392</v>
      </c>
      <c r="U57">
        <v>21.175624652877289</v>
      </c>
    </row>
    <row r="58" spans="1:21" x14ac:dyDescent="0.25">
      <c r="A58" t="s">
        <v>148</v>
      </c>
      <c r="B58" t="s">
        <v>158</v>
      </c>
      <c r="C58">
        <v>1.1200000000000001</v>
      </c>
      <c r="L58" s="5"/>
      <c r="M58" s="5"/>
      <c r="Q58" t="s">
        <v>88</v>
      </c>
      <c r="S58">
        <v>2.8384429440418968</v>
      </c>
      <c r="T58">
        <v>6.0425599923649642</v>
      </c>
      <c r="U58">
        <v>18.38352430269882</v>
      </c>
    </row>
    <row r="59" spans="1:21" x14ac:dyDescent="0.25">
      <c r="A59" t="s">
        <v>148</v>
      </c>
      <c r="B59" t="s">
        <v>159</v>
      </c>
      <c r="C59">
        <v>17.989999999999998</v>
      </c>
      <c r="L59" s="5" t="s">
        <v>160</v>
      </c>
      <c r="M59" s="5"/>
      <c r="Q59" t="s">
        <v>90</v>
      </c>
      <c r="S59">
        <v>1.0557679461642671</v>
      </c>
      <c r="T59">
        <v>3.5060780849134239</v>
      </c>
      <c r="U59">
        <v>9.2379758166824786</v>
      </c>
    </row>
    <row r="60" spans="1:21" x14ac:dyDescent="0.25">
      <c r="A60" t="s">
        <v>161</v>
      </c>
      <c r="B60" t="s">
        <v>40</v>
      </c>
      <c r="C60">
        <v>0.1</v>
      </c>
      <c r="L60" s="5" t="s">
        <v>162</v>
      </c>
      <c r="M60" s="5">
        <v>0</v>
      </c>
      <c r="Q60" t="s">
        <v>92</v>
      </c>
      <c r="S60">
        <v>1.14736454064708</v>
      </c>
      <c r="T60">
        <v>4.2133590204150657</v>
      </c>
      <c r="U60">
        <v>9.7874108149495171</v>
      </c>
    </row>
    <row r="61" spans="1:21" x14ac:dyDescent="0.25">
      <c r="A61" t="s">
        <v>161</v>
      </c>
      <c r="B61" t="s">
        <v>140</v>
      </c>
      <c r="C61">
        <v>36.369999999999997</v>
      </c>
      <c r="L61" s="5" t="s">
        <v>163</v>
      </c>
      <c r="M61" s="5">
        <v>0</v>
      </c>
      <c r="Q61" t="s">
        <v>94</v>
      </c>
      <c r="S61">
        <v>0.63531045723054991</v>
      </c>
      <c r="T61">
        <v>2.794554780875337</v>
      </c>
      <c r="U61">
        <v>3.8295695649056838</v>
      </c>
    </row>
    <row r="62" spans="1:21" x14ac:dyDescent="0.25">
      <c r="A62" t="s">
        <v>161</v>
      </c>
      <c r="B62" t="s">
        <v>67</v>
      </c>
      <c r="C62">
        <v>2.71</v>
      </c>
      <c r="L62" s="5" t="s">
        <v>164</v>
      </c>
      <c r="M62" s="5">
        <v>0</v>
      </c>
      <c r="Q62" t="s">
        <v>165</v>
      </c>
      <c r="S62">
        <v>1202.5209851035561</v>
      </c>
      <c r="T62">
        <v>1471.279607989806</v>
      </c>
      <c r="U62">
        <v>2237.41313700202</v>
      </c>
    </row>
    <row r="63" spans="1:21" x14ac:dyDescent="0.25">
      <c r="A63" t="s">
        <v>161</v>
      </c>
      <c r="B63" t="s">
        <v>156</v>
      </c>
      <c r="C63">
        <v>1.1599999999999999</v>
      </c>
      <c r="L63" s="5" t="s">
        <v>166</v>
      </c>
      <c r="M63" s="5">
        <v>0</v>
      </c>
      <c r="Q63" t="s">
        <v>167</v>
      </c>
    </row>
    <row r="64" spans="1:21" x14ac:dyDescent="0.25">
      <c r="A64" t="s">
        <v>161</v>
      </c>
      <c r="B64" t="s">
        <v>168</v>
      </c>
      <c r="C64">
        <v>10.94</v>
      </c>
      <c r="L64" s="5" t="s">
        <v>169</v>
      </c>
      <c r="M64" s="5">
        <v>0</v>
      </c>
      <c r="Q64" t="s">
        <v>102</v>
      </c>
      <c r="S64">
        <v>55.211574013227803</v>
      </c>
      <c r="T64">
        <v>111.0663160167846</v>
      </c>
      <c r="U64">
        <v>253.97031899967541</v>
      </c>
    </row>
    <row r="65" spans="1:21" x14ac:dyDescent="0.25">
      <c r="A65" t="s">
        <v>161</v>
      </c>
      <c r="B65" t="s">
        <v>158</v>
      </c>
      <c r="C65">
        <v>4.5</v>
      </c>
      <c r="Q65" t="s">
        <v>105</v>
      </c>
      <c r="S65">
        <v>220.28679878102869</v>
      </c>
      <c r="T65">
        <v>478.39066982480108</v>
      </c>
      <c r="U65">
        <v>948.65343487100665</v>
      </c>
    </row>
    <row r="66" spans="1:21" x14ac:dyDescent="0.25">
      <c r="A66" t="s">
        <v>161</v>
      </c>
      <c r="B66" t="s">
        <v>170</v>
      </c>
      <c r="C66">
        <v>55.79</v>
      </c>
      <c r="Q66" t="s">
        <v>107</v>
      </c>
      <c r="S66">
        <v>510.67496529709967</v>
      </c>
      <c r="T66">
        <v>925.18296788136911</v>
      </c>
      <c r="U66">
        <v>2029.791469608617</v>
      </c>
    </row>
    <row r="67" spans="1:21" x14ac:dyDescent="0.25">
      <c r="A67" t="s">
        <v>171</v>
      </c>
      <c r="B67" t="s">
        <v>172</v>
      </c>
      <c r="C67">
        <v>405.34</v>
      </c>
      <c r="Q67" t="s">
        <v>109</v>
      </c>
      <c r="S67">
        <v>44.27750578147193</v>
      </c>
      <c r="T67">
        <v>75.658013056490418</v>
      </c>
      <c r="U67">
        <v>224.4962497643595</v>
      </c>
    </row>
    <row r="68" spans="1:21" x14ac:dyDescent="0.25">
      <c r="Q68" t="s">
        <v>111</v>
      </c>
      <c r="S68">
        <v>33.78986895515974</v>
      </c>
      <c r="T68">
        <v>60.604522016463747</v>
      </c>
      <c r="U68">
        <v>156.8386401637502</v>
      </c>
    </row>
    <row r="69" spans="1:21" x14ac:dyDescent="0.25">
      <c r="Q69" t="s">
        <v>113</v>
      </c>
      <c r="S69">
        <v>392.30418860143692</v>
      </c>
      <c r="T69">
        <v>383.65352325108648</v>
      </c>
      <c r="U69">
        <v>1114.0407345677111</v>
      </c>
    </row>
    <row r="70" spans="1:21" x14ac:dyDescent="0.25">
      <c r="Q70" t="s">
        <v>115</v>
      </c>
      <c r="S70">
        <v>12.54998808666563</v>
      </c>
      <c r="T70">
        <v>21.70518161631917</v>
      </c>
      <c r="U70">
        <v>31.642403916070741</v>
      </c>
    </row>
    <row r="71" spans="1:21" x14ac:dyDescent="0.25">
      <c r="Q71" t="s">
        <v>117</v>
      </c>
      <c r="S71">
        <v>7.7379775270365379</v>
      </c>
      <c r="T71">
        <v>13.76295336862086</v>
      </c>
      <c r="U71">
        <v>39.858677216998821</v>
      </c>
    </row>
    <row r="72" spans="1:21" x14ac:dyDescent="0.25">
      <c r="Q72" t="s">
        <v>119</v>
      </c>
      <c r="S72">
        <v>420.09707941801162</v>
      </c>
      <c r="T72">
        <v>1008.713338845303</v>
      </c>
      <c r="U72">
        <v>2982.521560275999</v>
      </c>
    </row>
    <row r="73" spans="1:21" x14ac:dyDescent="0.25">
      <c r="Q73" t="s">
        <v>121</v>
      </c>
      <c r="S73">
        <v>4.3018654459626493</v>
      </c>
      <c r="T73">
        <v>9.7605552066137662</v>
      </c>
      <c r="U73">
        <v>28.30312680771414</v>
      </c>
    </row>
    <row r="74" spans="1:21" x14ac:dyDescent="0.25">
      <c r="Q74" t="s">
        <v>122</v>
      </c>
      <c r="S74">
        <v>1305047.693659164</v>
      </c>
      <c r="T74">
        <v>681863.68189534917</v>
      </c>
      <c r="U74">
        <v>1656432.712446284</v>
      </c>
    </row>
    <row r="75" spans="1:21" x14ac:dyDescent="0.25">
      <c r="Q75" t="s">
        <v>124</v>
      </c>
      <c r="S75">
        <v>1305565.934701018</v>
      </c>
      <c r="T75">
        <v>682961.59534713568</v>
      </c>
      <c r="U75">
        <v>1658714.9943857731</v>
      </c>
    </row>
    <row r="76" spans="1:21" x14ac:dyDescent="0.25">
      <c r="Q76" s="13" t="s">
        <v>125</v>
      </c>
      <c r="R76" s="13"/>
      <c r="S76" s="13">
        <v>1319259.236934423</v>
      </c>
      <c r="T76" s="13">
        <v>715685.8844161313</v>
      </c>
      <c r="U76" s="13">
        <v>1755320.8905005041</v>
      </c>
    </row>
    <row r="77" spans="1:21" x14ac:dyDescent="0.25">
      <c r="Q77" t="s">
        <v>173</v>
      </c>
    </row>
    <row r="78" spans="1:21" x14ac:dyDescent="0.25">
      <c r="Q78" t="s">
        <v>102</v>
      </c>
      <c r="S78">
        <v>0</v>
      </c>
      <c r="T78">
        <v>0</v>
      </c>
      <c r="U78">
        <v>0</v>
      </c>
    </row>
    <row r="79" spans="1:21" x14ac:dyDescent="0.25">
      <c r="Q79" t="s">
        <v>105</v>
      </c>
      <c r="S79">
        <v>0</v>
      </c>
      <c r="T79">
        <v>0</v>
      </c>
      <c r="U79">
        <v>0</v>
      </c>
    </row>
    <row r="80" spans="1:21" x14ac:dyDescent="0.25">
      <c r="Q80" t="s">
        <v>128</v>
      </c>
      <c r="S80">
        <v>0</v>
      </c>
      <c r="T80">
        <v>0</v>
      </c>
      <c r="U80">
        <v>0</v>
      </c>
    </row>
    <row r="81" spans="17:21" x14ac:dyDescent="0.25">
      <c r="Q81" t="s">
        <v>109</v>
      </c>
      <c r="S81">
        <v>0</v>
      </c>
      <c r="T81">
        <v>0</v>
      </c>
      <c r="U81">
        <v>0</v>
      </c>
    </row>
    <row r="82" spans="17:21" x14ac:dyDescent="0.25">
      <c r="Q82" t="s">
        <v>111</v>
      </c>
      <c r="S82">
        <v>0</v>
      </c>
      <c r="T82">
        <v>0</v>
      </c>
      <c r="U82">
        <v>0</v>
      </c>
    </row>
    <row r="83" spans="17:21" x14ac:dyDescent="0.25">
      <c r="Q83" t="s">
        <v>113</v>
      </c>
      <c r="S83">
        <v>0</v>
      </c>
      <c r="T83">
        <v>0</v>
      </c>
      <c r="U83">
        <v>0</v>
      </c>
    </row>
    <row r="84" spans="17:21" x14ac:dyDescent="0.25">
      <c r="Q84" t="s">
        <v>115</v>
      </c>
      <c r="S84">
        <v>0</v>
      </c>
      <c r="T84">
        <v>0</v>
      </c>
      <c r="U84">
        <v>0</v>
      </c>
    </row>
    <row r="85" spans="17:21" x14ac:dyDescent="0.25">
      <c r="Q85" t="s">
        <v>117</v>
      </c>
      <c r="S85">
        <v>0</v>
      </c>
      <c r="T85">
        <v>0</v>
      </c>
      <c r="U85">
        <v>0</v>
      </c>
    </row>
    <row r="86" spans="17:21" x14ac:dyDescent="0.25">
      <c r="Q86" s="6" t="s">
        <v>174</v>
      </c>
      <c r="R86" s="6"/>
      <c r="S86" s="6">
        <f>S76/2000*2.205/1000</f>
        <v>1.4544833087202014</v>
      </c>
      <c r="T86" s="6">
        <f>T76/2000*2.205/1000</f>
        <v>0.78904368756878474</v>
      </c>
      <c r="U86" s="6">
        <f>U76/2000*2.205/1000</f>
        <v>1.9352412817768057</v>
      </c>
    </row>
    <row r="89" spans="17:21" x14ac:dyDescent="0.25">
      <c r="Q89" t="s">
        <v>175</v>
      </c>
    </row>
    <row r="90" spans="17:21" x14ac:dyDescent="0.25">
      <c r="S90" t="s">
        <v>176</v>
      </c>
      <c r="U90" t="s">
        <v>132</v>
      </c>
    </row>
    <row r="91" spans="17:21" x14ac:dyDescent="0.25">
      <c r="S91" t="s">
        <v>151</v>
      </c>
      <c r="T91" t="s">
        <v>152</v>
      </c>
      <c r="U91" t="s">
        <v>153</v>
      </c>
    </row>
    <row r="92" spans="17:21" x14ac:dyDescent="0.25">
      <c r="Q92" t="s">
        <v>177</v>
      </c>
    </row>
    <row r="93" spans="17:21" x14ac:dyDescent="0.25">
      <c r="Q93" t="s">
        <v>85</v>
      </c>
      <c r="S93">
        <v>0</v>
      </c>
      <c r="T93">
        <v>9.3511552100146584</v>
      </c>
      <c r="U93">
        <v>31.77835178795036</v>
      </c>
    </row>
    <row r="94" spans="17:21" x14ac:dyDescent="0.25">
      <c r="Q94" t="s">
        <v>88</v>
      </c>
      <c r="S94">
        <v>0</v>
      </c>
      <c r="T94">
        <v>8.8956305432341995</v>
      </c>
      <c r="U94">
        <v>27.588234678787551</v>
      </c>
    </row>
    <row r="95" spans="17:21" x14ac:dyDescent="0.25">
      <c r="Q95" t="s">
        <v>90</v>
      </c>
      <c r="S95">
        <v>0</v>
      </c>
      <c r="T95">
        <v>5.161516863469835</v>
      </c>
      <c r="U95">
        <v>13.863470387459129</v>
      </c>
    </row>
    <row r="96" spans="17:21" x14ac:dyDescent="0.25">
      <c r="Q96" t="s">
        <v>92</v>
      </c>
      <c r="S96">
        <v>0</v>
      </c>
      <c r="T96">
        <v>6.2027493709576396</v>
      </c>
      <c r="U96">
        <v>14.68800987310634</v>
      </c>
    </row>
    <row r="97" spans="17:21" x14ac:dyDescent="0.25">
      <c r="Q97" t="s">
        <v>94</v>
      </c>
      <c r="S97">
        <v>0</v>
      </c>
      <c r="T97">
        <v>4.1140388998879001</v>
      </c>
      <c r="U97">
        <v>5.7470516608096798</v>
      </c>
    </row>
    <row r="98" spans="17:21" x14ac:dyDescent="0.25">
      <c r="Q98" t="s">
        <v>165</v>
      </c>
      <c r="S98">
        <v>0</v>
      </c>
      <c r="T98">
        <v>2165.9627434413492</v>
      </c>
      <c r="U98">
        <v>3357.6956018140759</v>
      </c>
    </row>
    <row r="99" spans="17:21" x14ac:dyDescent="0.25">
      <c r="Q99" t="s">
        <v>178</v>
      </c>
    </row>
    <row r="100" spans="17:21" x14ac:dyDescent="0.25">
      <c r="Q100" t="s">
        <v>102</v>
      </c>
      <c r="S100">
        <v>0</v>
      </c>
      <c r="T100">
        <v>163.50767130682991</v>
      </c>
      <c r="U100">
        <v>381.13435958419421</v>
      </c>
    </row>
    <row r="101" spans="17:21" x14ac:dyDescent="0.25">
      <c r="Q101" t="s">
        <v>105</v>
      </c>
      <c r="S101">
        <v>0</v>
      </c>
      <c r="T101">
        <v>704.26882967962013</v>
      </c>
      <c r="U101">
        <v>1423.6483254855041</v>
      </c>
    </row>
    <row r="102" spans="17:21" x14ac:dyDescent="0.25">
      <c r="Q102" t="s">
        <v>107</v>
      </c>
      <c r="S102">
        <v>0</v>
      </c>
      <c r="T102">
        <v>1362.019719715591</v>
      </c>
      <c r="U102">
        <v>3046.116864781075</v>
      </c>
    </row>
    <row r="103" spans="17:21" x14ac:dyDescent="0.25">
      <c r="Q103" t="s">
        <v>109</v>
      </c>
      <c r="S103">
        <v>0</v>
      </c>
      <c r="T103">
        <v>111.38089363384481</v>
      </c>
      <c r="U103">
        <v>336.90249600821193</v>
      </c>
    </row>
    <row r="104" spans="17:21" x14ac:dyDescent="0.25">
      <c r="Q104" t="s">
        <v>111</v>
      </c>
      <c r="S104">
        <v>0</v>
      </c>
      <c r="T104">
        <v>89.219707837234552</v>
      </c>
      <c r="U104">
        <v>235.36842774506729</v>
      </c>
    </row>
    <row r="105" spans="17:21" x14ac:dyDescent="0.25">
      <c r="Q105" t="s">
        <v>113</v>
      </c>
      <c r="S105">
        <v>0</v>
      </c>
      <c r="T105">
        <v>564.80035014365569</v>
      </c>
      <c r="U105">
        <v>1671.8457636804101</v>
      </c>
    </row>
    <row r="106" spans="17:21" x14ac:dyDescent="0.25">
      <c r="Q106" t="s">
        <v>115</v>
      </c>
      <c r="S106">
        <v>0</v>
      </c>
      <c r="T106">
        <v>31.953555575209979</v>
      </c>
      <c r="U106">
        <v>47.485892838806222</v>
      </c>
    </row>
    <row r="107" spans="17:21" x14ac:dyDescent="0.25">
      <c r="Q107" t="s">
        <v>117</v>
      </c>
      <c r="S107">
        <v>0</v>
      </c>
      <c r="T107">
        <v>20.261304563911239</v>
      </c>
      <c r="U107">
        <v>59.816089828171492</v>
      </c>
    </row>
    <row r="108" spans="17:21" x14ac:dyDescent="0.25">
      <c r="Q108" t="s">
        <v>119</v>
      </c>
      <c r="S108">
        <v>0</v>
      </c>
      <c r="T108">
        <v>1484.990003862267</v>
      </c>
      <c r="U108">
        <v>4475.8830453069477</v>
      </c>
    </row>
    <row r="109" spans="17:21" x14ac:dyDescent="0.25">
      <c r="Q109" t="s">
        <v>121</v>
      </c>
      <c r="S109">
        <v>0</v>
      </c>
      <c r="T109">
        <v>14.36912386878836</v>
      </c>
      <c r="U109">
        <v>42.474625194695093</v>
      </c>
    </row>
    <row r="110" spans="17:21" x14ac:dyDescent="0.25">
      <c r="Q110" t="s">
        <v>122</v>
      </c>
      <c r="S110">
        <v>0</v>
      </c>
      <c r="T110">
        <v>1003814.17853601</v>
      </c>
      <c r="U110">
        <v>2485815.758074197</v>
      </c>
    </row>
    <row r="111" spans="17:21" x14ac:dyDescent="0.25">
      <c r="Q111" t="s">
        <v>124</v>
      </c>
      <c r="S111">
        <v>0</v>
      </c>
      <c r="T111">
        <v>1005430.485605841</v>
      </c>
      <c r="U111">
        <v>2489240.7884825701</v>
      </c>
    </row>
    <row r="112" spans="17:21" x14ac:dyDescent="0.25">
      <c r="Q112" t="s">
        <v>125</v>
      </c>
      <c r="S112">
        <v>0</v>
      </c>
      <c r="T112">
        <v>1053605.9585371159</v>
      </c>
      <c r="U112">
        <v>2634217.6759108691</v>
      </c>
    </row>
    <row r="113" spans="17:21" x14ac:dyDescent="0.25">
      <c r="Q113" t="s">
        <v>179</v>
      </c>
    </row>
    <row r="114" spans="17:21" x14ac:dyDescent="0.25">
      <c r="Q114" t="s">
        <v>102</v>
      </c>
      <c r="S114">
        <v>0</v>
      </c>
      <c r="T114">
        <v>0</v>
      </c>
      <c r="U114">
        <v>0</v>
      </c>
    </row>
    <row r="115" spans="17:21" x14ac:dyDescent="0.25">
      <c r="Q115" t="s">
        <v>105</v>
      </c>
      <c r="S115">
        <v>0</v>
      </c>
      <c r="T115">
        <v>0</v>
      </c>
      <c r="U115">
        <v>0</v>
      </c>
    </row>
    <row r="116" spans="17:21" x14ac:dyDescent="0.25">
      <c r="Q116" t="s">
        <v>128</v>
      </c>
      <c r="S116">
        <v>0</v>
      </c>
      <c r="T116">
        <v>0</v>
      </c>
      <c r="U116">
        <v>0</v>
      </c>
    </row>
    <row r="117" spans="17:21" x14ac:dyDescent="0.25">
      <c r="Q117" t="s">
        <v>109</v>
      </c>
      <c r="S117">
        <v>0</v>
      </c>
      <c r="T117">
        <v>0</v>
      </c>
      <c r="U117">
        <v>0</v>
      </c>
    </row>
    <row r="118" spans="17:21" x14ac:dyDescent="0.25">
      <c r="Q118" t="s">
        <v>111</v>
      </c>
      <c r="S118">
        <v>0</v>
      </c>
      <c r="T118">
        <v>0</v>
      </c>
      <c r="U118">
        <v>0</v>
      </c>
    </row>
    <row r="119" spans="17:21" x14ac:dyDescent="0.25">
      <c r="Q119" t="s">
        <v>113</v>
      </c>
      <c r="S119">
        <v>0</v>
      </c>
      <c r="T119">
        <v>0</v>
      </c>
      <c r="U119">
        <v>0</v>
      </c>
    </row>
    <row r="120" spans="17:21" x14ac:dyDescent="0.25">
      <c r="Q120" t="s">
        <v>115</v>
      </c>
      <c r="S120">
        <v>0</v>
      </c>
      <c r="T120">
        <v>0</v>
      </c>
      <c r="U120">
        <v>0</v>
      </c>
    </row>
    <row r="121" spans="17:21" x14ac:dyDescent="0.25">
      <c r="Q121" t="s">
        <v>117</v>
      </c>
      <c r="S121">
        <v>0</v>
      </c>
      <c r="T121">
        <v>0</v>
      </c>
      <c r="U121">
        <v>0</v>
      </c>
    </row>
    <row r="123" spans="17:21" x14ac:dyDescent="0.25">
      <c r="T123">
        <f>T112/2000*2.205/1000</f>
        <v>1.1616005692871703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3"/>
  <sheetViews>
    <sheetView topLeftCell="D1" zoomScale="85" zoomScaleNormal="85" workbookViewId="0">
      <selection activeCell="P13" sqref="P13"/>
    </sheetView>
  </sheetViews>
  <sheetFormatPr defaultRowHeight="15" x14ac:dyDescent="0.25"/>
  <cols>
    <col min="1" max="1" width="40" customWidth="1"/>
    <col min="2" max="3" width="12" customWidth="1"/>
    <col min="4" max="4" width="3" customWidth="1"/>
    <col min="5" max="5" width="24" customWidth="1"/>
    <col min="6" max="6" width="14" customWidth="1"/>
    <col min="7" max="8" width="12" customWidth="1"/>
    <col min="10" max="10" width="23" customWidth="1"/>
    <col min="11" max="14" width="15" customWidth="1"/>
    <col min="15" max="15" width="42" customWidth="1"/>
    <col min="16" max="16" width="27.140625" bestFit="1" customWidth="1"/>
    <col min="17" max="17" width="28.28515625" bestFit="1" customWidth="1"/>
    <col min="19" max="19" width="28.42578125" bestFit="1" customWidth="1"/>
    <col min="20" max="20" width="35" bestFit="1" customWidth="1"/>
    <col min="21" max="22" width="9.28515625" bestFit="1" customWidth="1"/>
    <col min="23" max="23" width="14" bestFit="1" customWidth="1"/>
    <col min="24" max="24" width="9.28515625" bestFit="1" customWidth="1"/>
  </cols>
  <sheetData>
    <row r="1" spans="1:24" x14ac:dyDescent="0.25">
      <c r="A1" s="1" t="s">
        <v>16</v>
      </c>
    </row>
    <row r="2" spans="1:24" x14ac:dyDescent="0.25">
      <c r="A2" s="1" t="s">
        <v>17</v>
      </c>
      <c r="E2" s="1" t="s">
        <v>18</v>
      </c>
    </row>
    <row r="3" spans="1:24" x14ac:dyDescent="0.25">
      <c r="A3" s="2" t="s">
        <v>19</v>
      </c>
      <c r="B3" s="2" t="s">
        <v>20</v>
      </c>
      <c r="C3" s="2" t="s">
        <v>21</v>
      </c>
      <c r="E3" s="2" t="s">
        <v>22</v>
      </c>
      <c r="F3" s="2" t="s">
        <v>21</v>
      </c>
      <c r="G3" s="15" t="s">
        <v>23</v>
      </c>
      <c r="H3" s="15" t="s">
        <v>24</v>
      </c>
      <c r="J3" s="1" t="s">
        <v>25</v>
      </c>
    </row>
    <row r="4" spans="1:24" x14ac:dyDescent="0.25">
      <c r="A4" t="s">
        <v>26</v>
      </c>
      <c r="B4">
        <v>368.78739999999999</v>
      </c>
      <c r="C4">
        <v>167.2792</v>
      </c>
      <c r="E4" t="s">
        <v>27</v>
      </c>
      <c r="F4">
        <v>75.848600000000005</v>
      </c>
      <c r="G4">
        <f>C8-F25</f>
        <v>19.763367605633803</v>
      </c>
      <c r="H4">
        <f>G4/G8*H9</f>
        <v>58.992349050434818</v>
      </c>
      <c r="J4" s="3" t="s">
        <v>2</v>
      </c>
      <c r="K4" s="3" t="s">
        <v>3</v>
      </c>
      <c r="L4" s="3" t="s">
        <v>4</v>
      </c>
      <c r="M4" s="3" t="s">
        <v>5</v>
      </c>
      <c r="N4" s="3" t="s">
        <v>6</v>
      </c>
      <c r="O4" s="3" t="s">
        <v>28</v>
      </c>
      <c r="P4" s="3" t="s">
        <v>29</v>
      </c>
      <c r="Q4" s="2" t="s">
        <v>30</v>
      </c>
    </row>
    <row r="5" spans="1:24" x14ac:dyDescent="0.25">
      <c r="A5" t="s">
        <v>31</v>
      </c>
      <c r="B5">
        <v>189.53989999999999</v>
      </c>
      <c r="C5">
        <v>85.973799999999997</v>
      </c>
      <c r="E5" t="s">
        <v>32</v>
      </c>
      <c r="F5">
        <v>61.357900000000001</v>
      </c>
      <c r="G5">
        <f>F5</f>
        <v>61.357900000000001</v>
      </c>
      <c r="H5">
        <f>G5/G8*H9</f>
        <v>183.14928538645651</v>
      </c>
      <c r="J5" t="s">
        <v>33</v>
      </c>
      <c r="K5">
        <v>44.894380042512317</v>
      </c>
      <c r="L5">
        <v>4.489438004251233</v>
      </c>
      <c r="M5">
        <v>44.894380042512317</v>
      </c>
      <c r="N5">
        <f>0.9*M5</f>
        <v>40.404942038261083</v>
      </c>
      <c r="O5">
        <f>K5*K46</f>
        <v>1018.0797529467961</v>
      </c>
      <c r="P5">
        <f>H6</f>
        <v>75.801284586055274</v>
      </c>
      <c r="Q5" t="s">
        <v>34</v>
      </c>
      <c r="R5">
        <f>N5/M5</f>
        <v>0.89999999999999991</v>
      </c>
      <c r="S5" t="s">
        <v>35</v>
      </c>
    </row>
    <row r="6" spans="1:24" x14ac:dyDescent="0.25">
      <c r="A6" t="s">
        <v>36</v>
      </c>
      <c r="B6">
        <v>11.4954</v>
      </c>
      <c r="C6">
        <v>5.2141999999999999</v>
      </c>
      <c r="E6" t="s">
        <v>37</v>
      </c>
      <c r="F6">
        <f>C4*F12/G19</f>
        <v>25.394626190808239</v>
      </c>
      <c r="G6">
        <f>F6</f>
        <v>25.394626190808239</v>
      </c>
      <c r="H6">
        <f>G6/G8*H9</f>
        <v>75.801284586055274</v>
      </c>
      <c r="J6" t="s">
        <v>8</v>
      </c>
      <c r="K6">
        <v>61.357921876529844</v>
      </c>
      <c r="L6">
        <v>19.634535000489549</v>
      </c>
      <c r="M6">
        <v>61.357921876529844</v>
      </c>
      <c r="N6">
        <f>0.9*M6</f>
        <v>55.222129688876862</v>
      </c>
      <c r="O6">
        <f>K6*U47</f>
        <v>236.83410874652205</v>
      </c>
      <c r="P6">
        <f>H5</f>
        <v>183.14928538645651</v>
      </c>
      <c r="Q6" t="s">
        <v>38</v>
      </c>
      <c r="R6">
        <f>N6/M6</f>
        <v>0.9</v>
      </c>
      <c r="S6" t="s">
        <v>39</v>
      </c>
    </row>
    <row r="7" spans="1:24" x14ac:dyDescent="0.25">
      <c r="A7" t="s">
        <v>40</v>
      </c>
      <c r="B7">
        <v>135.27109999999999</v>
      </c>
      <c r="C7">
        <v>61.357900000000001</v>
      </c>
      <c r="J7" t="s">
        <v>9</v>
      </c>
      <c r="K7">
        <v>75.848577339465237</v>
      </c>
      <c r="L7">
        <v>37.924288669732618</v>
      </c>
      <c r="M7">
        <v>75.848577339465237</v>
      </c>
      <c r="N7">
        <f>0.9*M7</f>
        <v>68.263719605518716</v>
      </c>
      <c r="O7">
        <f>K7*T47</f>
        <v>1089.9095422242981</v>
      </c>
      <c r="P7">
        <f>M7*X47*F25/C8+H4</f>
        <v>191.06302460797332</v>
      </c>
      <c r="Q7" t="s">
        <v>38</v>
      </c>
      <c r="R7">
        <f>N7/M7</f>
        <v>0.9</v>
      </c>
      <c r="S7" t="s">
        <v>41</v>
      </c>
    </row>
    <row r="8" spans="1:24" x14ac:dyDescent="0.25">
      <c r="A8" t="s">
        <v>42</v>
      </c>
      <c r="B8">
        <v>167.2175</v>
      </c>
      <c r="C8">
        <v>75.848600000000005</v>
      </c>
      <c r="E8" t="s">
        <v>43</v>
      </c>
      <c r="G8">
        <f>G4+G5+G6</f>
        <v>106.51589379644204</v>
      </c>
      <c r="J8" t="s">
        <v>10</v>
      </c>
      <c r="K8">
        <v>118.5929794372454</v>
      </c>
      <c r="L8">
        <v>30.83417465368381</v>
      </c>
      <c r="M8">
        <v>118.5929794372454</v>
      </c>
      <c r="N8">
        <f>0.9*M8</f>
        <v>106.73368149352086</v>
      </c>
      <c r="O8">
        <f>K8*(V47)</f>
        <v>352.11551179231299</v>
      </c>
      <c r="P8">
        <f>N8*W47</f>
        <v>69.175303352982425</v>
      </c>
      <c r="Q8" t="s">
        <v>38</v>
      </c>
      <c r="R8">
        <f>N8/M8</f>
        <v>0.9</v>
      </c>
      <c r="S8" t="s">
        <v>44</v>
      </c>
    </row>
    <row r="9" spans="1:24" x14ac:dyDescent="0.25">
      <c r="A9" t="s">
        <v>45</v>
      </c>
      <c r="B9">
        <v>16.9757</v>
      </c>
      <c r="C9">
        <v>7.7000999999999999</v>
      </c>
      <c r="E9" t="s">
        <v>46</v>
      </c>
      <c r="G9">
        <f>C24</f>
        <v>402.94716760563392</v>
      </c>
      <c r="H9">
        <f>G9*Q86</f>
        <v>317.94291902294657</v>
      </c>
      <c r="J9" t="s">
        <v>47</v>
      </c>
      <c r="K9">
        <v>94.922557400415897</v>
      </c>
      <c r="L9">
        <v>0</v>
      </c>
      <c r="M9">
        <v>94.922557400415897</v>
      </c>
      <c r="N9">
        <v>0</v>
      </c>
      <c r="O9">
        <f>K9*M46</f>
        <v>3.1683200710310284E-2</v>
      </c>
      <c r="P9">
        <f>M9*M46</f>
        <v>3.1683200710310284E-2</v>
      </c>
      <c r="S9" t="s">
        <v>48</v>
      </c>
    </row>
    <row r="10" spans="1:24" x14ac:dyDescent="0.25">
      <c r="A10" t="s">
        <v>49</v>
      </c>
      <c r="B10">
        <v>47.050800000000002</v>
      </c>
      <c r="C10">
        <v>21.341899999999999</v>
      </c>
      <c r="E10" s="1" t="s">
        <v>50</v>
      </c>
      <c r="G10">
        <f>F10</f>
        <v>0</v>
      </c>
      <c r="J10" t="s">
        <v>51</v>
      </c>
      <c r="K10">
        <v>61.234208057090903</v>
      </c>
      <c r="L10">
        <v>0</v>
      </c>
      <c r="M10">
        <v>61.234208057090903</v>
      </c>
      <c r="N10">
        <v>0</v>
      </c>
      <c r="O10">
        <f>K10*L46</f>
        <v>65.287463172521669</v>
      </c>
      <c r="P10">
        <f>M10*L46</f>
        <v>65.287463172521669</v>
      </c>
      <c r="S10" t="s">
        <v>52</v>
      </c>
    </row>
    <row r="11" spans="1:24" x14ac:dyDescent="0.25">
      <c r="A11" t="s">
        <v>53</v>
      </c>
      <c r="B11">
        <v>47.050800000000002</v>
      </c>
      <c r="C11">
        <v>21.341899999999999</v>
      </c>
      <c r="E11" s="2" t="s">
        <v>54</v>
      </c>
      <c r="F11" s="2" t="s">
        <v>55</v>
      </c>
      <c r="G11" s="2" t="s">
        <v>56</v>
      </c>
      <c r="J11" t="s">
        <v>13</v>
      </c>
      <c r="P11">
        <f>SUM(P5:P10)</f>
        <v>584.5080443066995</v>
      </c>
      <c r="S11" t="s">
        <v>57</v>
      </c>
    </row>
    <row r="12" spans="1:24" x14ac:dyDescent="0.25">
      <c r="A12" t="s">
        <v>58</v>
      </c>
      <c r="B12">
        <v>1.0692999999999999</v>
      </c>
      <c r="C12">
        <v>0.48499999999999999</v>
      </c>
      <c r="E12" t="s">
        <v>59</v>
      </c>
      <c r="F12">
        <v>4.3999999999999997E-2</v>
      </c>
      <c r="G12">
        <v>4.4000000000000004</v>
      </c>
      <c r="J12" t="s">
        <v>14</v>
      </c>
      <c r="O12">
        <f>SUM(O5:O10)</f>
        <v>2762.2580620831613</v>
      </c>
    </row>
    <row r="13" spans="1:24" x14ac:dyDescent="0.25">
      <c r="A13" t="s">
        <v>60</v>
      </c>
      <c r="B13">
        <v>14.035</v>
      </c>
      <c r="C13">
        <v>6.3662000000000001</v>
      </c>
      <c r="E13" t="s">
        <v>61</v>
      </c>
      <c r="F13">
        <v>0.35399999999999998</v>
      </c>
      <c r="G13">
        <v>35.4</v>
      </c>
    </row>
    <row r="14" spans="1:24" x14ac:dyDescent="0.25">
      <c r="A14" t="s">
        <v>62</v>
      </c>
      <c r="B14">
        <v>11.0944</v>
      </c>
      <c r="C14">
        <v>5.0323000000000002</v>
      </c>
      <c r="E14" t="s">
        <v>63</v>
      </c>
      <c r="F14">
        <v>0.19633999999999999</v>
      </c>
      <c r="G14">
        <v>19.63</v>
      </c>
    </row>
    <row r="15" spans="1:24" x14ac:dyDescent="0.25">
      <c r="A15" t="s">
        <v>64</v>
      </c>
      <c r="B15">
        <v>2.4060000000000001</v>
      </c>
      <c r="C15">
        <v>1.0912999999999999</v>
      </c>
      <c r="E15" t="s">
        <v>65</v>
      </c>
      <c r="F15">
        <v>0.40566000000000002</v>
      </c>
      <c r="G15">
        <v>40.57</v>
      </c>
      <c r="J15" t="s">
        <v>66</v>
      </c>
    </row>
    <row r="16" spans="1:24" x14ac:dyDescent="0.25">
      <c r="A16" t="s">
        <v>67</v>
      </c>
      <c r="B16">
        <v>183.5249</v>
      </c>
      <c r="C16">
        <v>83.245500000000007</v>
      </c>
      <c r="E16" t="s">
        <v>68</v>
      </c>
      <c r="F16">
        <v>157.76</v>
      </c>
      <c r="K16" t="s">
        <v>69</v>
      </c>
      <c r="L16" t="s">
        <v>70</v>
      </c>
      <c r="M16" t="s">
        <v>71</v>
      </c>
      <c r="N16" t="s">
        <v>72</v>
      </c>
      <c r="O16" t="s">
        <v>73</v>
      </c>
      <c r="P16" t="s">
        <v>74</v>
      </c>
      <c r="Q16" t="s">
        <v>75</v>
      </c>
      <c r="R16" s="5"/>
      <c r="S16" s="5" t="s">
        <v>31</v>
      </c>
      <c r="T16" s="5" t="s">
        <v>76</v>
      </c>
      <c r="U16" s="5" t="s">
        <v>40</v>
      </c>
      <c r="V16" s="5" t="s">
        <v>77</v>
      </c>
      <c r="W16" s="5" t="s">
        <v>78</v>
      </c>
      <c r="X16" s="5" t="s">
        <v>79</v>
      </c>
    </row>
    <row r="17" spans="1:24" x14ac:dyDescent="0.25">
      <c r="A17" t="s">
        <v>80</v>
      </c>
      <c r="B17">
        <v>77.927899999999994</v>
      </c>
      <c r="C17">
        <v>35.347499999999997</v>
      </c>
      <c r="J17" t="s">
        <v>81</v>
      </c>
      <c r="R17" s="5" t="s">
        <v>82</v>
      </c>
      <c r="S17" s="5"/>
      <c r="T17" s="5"/>
      <c r="U17" s="5" t="s">
        <v>83</v>
      </c>
      <c r="V17" s="5"/>
      <c r="W17" s="5"/>
      <c r="X17" s="5"/>
    </row>
    <row r="18" spans="1:24" x14ac:dyDescent="0.25">
      <c r="A18" t="s">
        <v>84</v>
      </c>
      <c r="B18">
        <v>0.40100000000000002</v>
      </c>
      <c r="C18">
        <v>0.18190000000000001</v>
      </c>
      <c r="G18">
        <f>G12*C4/100</f>
        <v>7.3602848000000005</v>
      </c>
      <c r="J18" t="s">
        <v>85</v>
      </c>
      <c r="K18">
        <v>248.90234699300731</v>
      </c>
      <c r="L18">
        <v>14.625495742340391</v>
      </c>
      <c r="M18">
        <v>0</v>
      </c>
      <c r="N18">
        <v>1.112425036114816</v>
      </c>
      <c r="O18">
        <v>18.48717368750534</v>
      </c>
      <c r="P18">
        <v>84.690348231192786</v>
      </c>
      <c r="Q18">
        <v>115.488891867699</v>
      </c>
      <c r="R18" s="5" t="s">
        <v>85</v>
      </c>
      <c r="S18" s="5">
        <v>4.2403736024412948E-2</v>
      </c>
      <c r="T18" s="5">
        <v>9.3501426183255382E-2</v>
      </c>
      <c r="U18" s="5">
        <v>2.529241569205385E-2</v>
      </c>
      <c r="V18" s="5">
        <v>1.4602806539523609E-2</v>
      </c>
      <c r="W18" s="5">
        <v>4.6802945320607858E-3</v>
      </c>
      <c r="X18" s="5">
        <v>1.645729457647287E-2</v>
      </c>
    </row>
    <row r="19" spans="1:24" x14ac:dyDescent="0.25">
      <c r="A19" t="s">
        <v>86</v>
      </c>
      <c r="B19">
        <v>4.1436999999999999</v>
      </c>
      <c r="C19">
        <v>1.8794999999999999</v>
      </c>
      <c r="E19" t="s">
        <v>87</v>
      </c>
      <c r="F19">
        <f>23.948</f>
        <v>23.948</v>
      </c>
      <c r="G19">
        <f>6.941/F19</f>
        <v>0.28983631200935361</v>
      </c>
      <c r="J19" t="s">
        <v>88</v>
      </c>
      <c r="K19">
        <v>233.20584892021739</v>
      </c>
      <c r="L19">
        <v>13.441564210118781</v>
      </c>
      <c r="M19">
        <v>0</v>
      </c>
      <c r="N19">
        <v>0.90126275484362661</v>
      </c>
      <c r="O19">
        <v>17.624372820643121</v>
      </c>
      <c r="P19">
        <v>79.740463990992893</v>
      </c>
      <c r="Q19">
        <v>112.6296965269582</v>
      </c>
      <c r="R19" s="5" t="s">
        <v>88</v>
      </c>
      <c r="S19" s="5">
        <v>3.992593956052469E-2</v>
      </c>
      <c r="T19" s="5">
        <v>6.3763299477138574E-2</v>
      </c>
      <c r="U19" s="5">
        <v>1.9665277127219511E-2</v>
      </c>
      <c r="V19" s="5">
        <v>1.3581185834154109E-2</v>
      </c>
      <c r="W19" s="5">
        <v>3.8548277644597892E-3</v>
      </c>
      <c r="X19" s="5">
        <v>1.378282279360858E-2</v>
      </c>
    </row>
    <row r="20" spans="1:24" x14ac:dyDescent="0.25">
      <c r="A20" t="s">
        <v>89</v>
      </c>
      <c r="B20">
        <v>49.7241</v>
      </c>
      <c r="C20">
        <v>22.554500000000001</v>
      </c>
      <c r="J20" t="s">
        <v>90</v>
      </c>
      <c r="K20">
        <v>131.10891623405519</v>
      </c>
      <c r="L20">
        <v>1.3655942149624369</v>
      </c>
      <c r="M20">
        <v>0</v>
      </c>
      <c r="N20">
        <v>0.2437341819975177</v>
      </c>
      <c r="O20">
        <v>0.9948756606452277</v>
      </c>
      <c r="P20">
        <v>10.902275370335889</v>
      </c>
      <c r="Q20">
        <v>80.839687587516877</v>
      </c>
      <c r="R20" s="5" t="s">
        <v>90</v>
      </c>
      <c r="S20" s="5">
        <v>5.4538109741785884E-3</v>
      </c>
      <c r="T20" s="5">
        <v>2.7877329036997571E-2</v>
      </c>
      <c r="U20" s="5">
        <v>6.3053565367288166E-3</v>
      </c>
      <c r="V20" s="5">
        <v>1.03930063391589E-2</v>
      </c>
      <c r="W20" s="5">
        <v>1.0418458353268259E-3</v>
      </c>
      <c r="X20" s="5">
        <v>2.6814986882752168E-3</v>
      </c>
    </row>
    <row r="21" spans="1:24" x14ac:dyDescent="0.25">
      <c r="A21" t="s">
        <v>91</v>
      </c>
      <c r="B21">
        <v>8.9557000000000002</v>
      </c>
      <c r="C21">
        <v>4.0621999999999998</v>
      </c>
      <c r="J21" t="s">
        <v>92</v>
      </c>
      <c r="K21">
        <v>47.058772525974831</v>
      </c>
      <c r="L21">
        <v>6.8058443437491833</v>
      </c>
      <c r="M21">
        <v>0</v>
      </c>
      <c r="N21">
        <v>0.36622189881190897</v>
      </c>
      <c r="O21">
        <v>11.60033159843692</v>
      </c>
      <c r="P21">
        <v>37.166606365951978</v>
      </c>
      <c r="Q21">
        <v>5.5696325243508289</v>
      </c>
      <c r="R21" s="5" t="s">
        <v>92</v>
      </c>
      <c r="S21" s="5">
        <v>1.8633954539435449E-2</v>
      </c>
      <c r="T21" s="5">
        <v>2.6903538869066639E-2</v>
      </c>
      <c r="U21" s="5">
        <v>9.5336187949735928E-3</v>
      </c>
      <c r="V21" s="5">
        <v>3.2913879900325002E-3</v>
      </c>
      <c r="W21" s="5">
        <v>2.7820945717948048E-3</v>
      </c>
      <c r="X21" s="5">
        <v>1.0475315895142849E-2</v>
      </c>
    </row>
    <row r="22" spans="1:24" x14ac:dyDescent="0.25">
      <c r="A22" s="1" t="s">
        <v>93</v>
      </c>
      <c r="B22" s="1">
        <v>1336.67</v>
      </c>
      <c r="C22" s="1">
        <v>606.29999999999995</v>
      </c>
      <c r="J22" t="s">
        <v>94</v>
      </c>
      <c r="K22">
        <v>55.038160160187381</v>
      </c>
      <c r="L22">
        <v>5.2701256514071551</v>
      </c>
      <c r="M22">
        <v>0</v>
      </c>
      <c r="N22">
        <v>0.29130667403420007</v>
      </c>
      <c r="O22">
        <v>5.0291655615609736</v>
      </c>
      <c r="P22">
        <v>31.671582254705012</v>
      </c>
      <c r="Q22">
        <v>26.220376415090509</v>
      </c>
      <c r="R22" s="5" t="s">
        <v>94</v>
      </c>
      <c r="S22" s="5">
        <v>1.5838174046910649E-2</v>
      </c>
      <c r="T22" s="5">
        <v>8.9824315710743605E-3</v>
      </c>
      <c r="U22" s="5">
        <v>3.826301795517096E-3</v>
      </c>
      <c r="V22" s="5">
        <v>-1.032084950373005E-4</v>
      </c>
      <c r="W22" s="5">
        <v>3.0887357338157752E-5</v>
      </c>
      <c r="X22" s="5">
        <v>6.2600821019051229E-4</v>
      </c>
    </row>
    <row r="23" spans="1:24" x14ac:dyDescent="0.25">
      <c r="J23" t="s">
        <v>95</v>
      </c>
      <c r="K23">
        <v>25181.043985030588</v>
      </c>
      <c r="L23">
        <v>8822.6720088080183</v>
      </c>
      <c r="M23">
        <v>0</v>
      </c>
      <c r="N23">
        <v>74.751848203411001</v>
      </c>
      <c r="O23">
        <v>5937.2881295828884</v>
      </c>
      <c r="P23">
        <v>2309.7880889641951</v>
      </c>
      <c r="Q23">
        <v>11868.198396496789</v>
      </c>
      <c r="R23" s="5" t="s">
        <v>96</v>
      </c>
      <c r="S23" s="5">
        <v>1.1558742570416609</v>
      </c>
      <c r="T23" s="5">
        <v>37.783915581555782</v>
      </c>
      <c r="U23" s="5">
        <v>2.929060161384748</v>
      </c>
      <c r="V23" s="5">
        <v>0.40197833277376849</v>
      </c>
      <c r="W23" s="5">
        <v>0.27501018265110427</v>
      </c>
      <c r="X23" s="5">
        <v>2.7176971597957418</v>
      </c>
    </row>
    <row r="24" spans="1:24" x14ac:dyDescent="0.25">
      <c r="A24" t="s">
        <v>97</v>
      </c>
      <c r="C24">
        <f>SUM(C4:C15)-F25</f>
        <v>402.94716760563392</v>
      </c>
      <c r="E24" t="s">
        <v>98</v>
      </c>
      <c r="F24">
        <f>C8</f>
        <v>75.848600000000005</v>
      </c>
      <c r="J24" t="s">
        <v>99</v>
      </c>
      <c r="R24" s="5" t="s">
        <v>100</v>
      </c>
      <c r="S24" s="5"/>
      <c r="T24" s="5"/>
      <c r="U24" s="5" t="s">
        <v>83</v>
      </c>
      <c r="V24" s="5"/>
      <c r="W24" s="5"/>
      <c r="X24" s="5"/>
    </row>
    <row r="25" spans="1:24" x14ac:dyDescent="0.25">
      <c r="E25" t="s">
        <v>101</v>
      </c>
      <c r="F25">
        <f>C8*G42</f>
        <v>56.085232394366201</v>
      </c>
      <c r="J25" t="s">
        <v>102</v>
      </c>
      <c r="K25">
        <v>4243.918298748712</v>
      </c>
      <c r="L25">
        <v>436.79828559085291</v>
      </c>
      <c r="M25">
        <v>0</v>
      </c>
      <c r="N25">
        <v>9.6203875087321009</v>
      </c>
      <c r="O25">
        <v>1463.9359000304601</v>
      </c>
      <c r="P25">
        <v>1307.853753781365</v>
      </c>
      <c r="Q25">
        <v>1880.463551195518</v>
      </c>
      <c r="R25" s="5" t="s">
        <v>102</v>
      </c>
      <c r="S25" s="5">
        <v>0.65416776834006929</v>
      </c>
      <c r="T25" s="5">
        <v>1.0756207314326569</v>
      </c>
      <c r="U25" s="5">
        <v>0.50095205865538406</v>
      </c>
      <c r="V25" s="5">
        <v>1.5742684083172149</v>
      </c>
      <c r="W25" s="5">
        <v>0.14622852105023179</v>
      </c>
      <c r="X25" s="5">
        <v>0.47121783597763639</v>
      </c>
    </row>
    <row r="26" spans="1:24" x14ac:dyDescent="0.25">
      <c r="A26" s="1" t="s">
        <v>103</v>
      </c>
      <c r="E26" t="s">
        <v>104</v>
      </c>
      <c r="F26">
        <f>F24-F25</f>
        <v>19.763367605633803</v>
      </c>
      <c r="J26" t="s">
        <v>105</v>
      </c>
      <c r="K26">
        <v>14302.819050358639</v>
      </c>
      <c r="L26">
        <v>1147.681612834893</v>
      </c>
      <c r="M26">
        <v>0</v>
      </c>
      <c r="N26">
        <v>37.373677980821498</v>
      </c>
      <c r="O26">
        <v>2193.9516928275889</v>
      </c>
      <c r="P26">
        <v>37385.679853064597</v>
      </c>
      <c r="Q26">
        <v>8231.1430965620202</v>
      </c>
      <c r="R26" s="5" t="s">
        <v>105</v>
      </c>
      <c r="S26" s="5">
        <v>18.692739738132641</v>
      </c>
      <c r="T26" s="5">
        <v>2.9853743526658252</v>
      </c>
      <c r="U26" s="5">
        <v>1.262344713309304</v>
      </c>
      <c r="V26" s="5">
        <v>11.041738923090669</v>
      </c>
      <c r="W26" s="5">
        <v>1.7710891793891279</v>
      </c>
      <c r="X26" s="5">
        <v>0.81068111864276371</v>
      </c>
    </row>
    <row r="27" spans="1:24" x14ac:dyDescent="0.25">
      <c r="A27" s="4" t="s">
        <v>106</v>
      </c>
      <c r="J27" t="s">
        <v>107</v>
      </c>
      <c r="K27">
        <v>35484.383743546197</v>
      </c>
      <c r="L27">
        <v>6756.5411450069878</v>
      </c>
      <c r="M27">
        <v>0</v>
      </c>
      <c r="N27">
        <v>78.490964543838032</v>
      </c>
      <c r="O27">
        <v>7574.669142079576</v>
      </c>
      <c r="P27">
        <v>4364.253252359068</v>
      </c>
      <c r="Q27">
        <v>16298.928401145249</v>
      </c>
      <c r="R27" s="5" t="s">
        <v>107</v>
      </c>
      <c r="S27" s="5">
        <v>2.1896353994083699</v>
      </c>
      <c r="T27" s="5">
        <v>6.2569281648687101</v>
      </c>
      <c r="U27" s="5">
        <v>2.1392642056133879</v>
      </c>
      <c r="V27" s="5">
        <v>1.4433378708395459</v>
      </c>
      <c r="W27" s="5">
        <v>0.32652808075065792</v>
      </c>
      <c r="X27" s="5">
        <v>1.3772535039449429</v>
      </c>
    </row>
    <row r="28" spans="1:24" x14ac:dyDescent="0.25">
      <c r="A28" s="4" t="s">
        <v>108</v>
      </c>
      <c r="J28" t="s">
        <v>109</v>
      </c>
      <c r="K28">
        <v>4952.2458691485199</v>
      </c>
      <c r="L28">
        <v>1175.3234540111141</v>
      </c>
      <c r="M28">
        <v>0</v>
      </c>
      <c r="N28">
        <v>10.96361730463819</v>
      </c>
      <c r="O28">
        <v>1013.891415438068</v>
      </c>
      <c r="P28">
        <v>479.31490948688639</v>
      </c>
      <c r="Q28">
        <v>2957.151822721909</v>
      </c>
      <c r="R28" s="5" t="s">
        <v>109</v>
      </c>
      <c r="S28" s="5">
        <v>0.24021639256614291</v>
      </c>
      <c r="T28" s="5">
        <v>1.3419315614827489</v>
      </c>
      <c r="U28" s="5">
        <v>0.34693161735867512</v>
      </c>
      <c r="V28" s="5">
        <v>0.76072345663024232</v>
      </c>
      <c r="W28" s="5">
        <v>0.32905941001022049</v>
      </c>
      <c r="X28" s="5">
        <v>0.29194243138737652</v>
      </c>
    </row>
    <row r="29" spans="1:24" x14ac:dyDescent="0.25">
      <c r="A29" s="4" t="s">
        <v>110</v>
      </c>
      <c r="J29" t="s">
        <v>111</v>
      </c>
      <c r="K29">
        <v>3612.8563944210218</v>
      </c>
      <c r="L29">
        <v>956.68596514686271</v>
      </c>
      <c r="M29">
        <v>0</v>
      </c>
      <c r="N29">
        <v>6.1924533526528087</v>
      </c>
      <c r="O29">
        <v>850.38647111495447</v>
      </c>
      <c r="P29">
        <v>294.83967554586411</v>
      </c>
      <c r="Q29">
        <v>2090.0694740561739</v>
      </c>
      <c r="R29" s="5" t="s">
        <v>111</v>
      </c>
      <c r="S29" s="5">
        <v>0.1479149074864472</v>
      </c>
      <c r="T29" s="5">
        <v>1.448320139239182</v>
      </c>
      <c r="U29" s="5">
        <v>0.2367788117303441</v>
      </c>
      <c r="V29" s="5">
        <v>0.36380852132897701</v>
      </c>
      <c r="W29" s="5">
        <v>0.16847068080993521</v>
      </c>
      <c r="X29" s="5">
        <v>0.23404745192834719</v>
      </c>
    </row>
    <row r="30" spans="1:24" x14ac:dyDescent="0.25">
      <c r="A30" s="4" t="s">
        <v>112</v>
      </c>
      <c r="J30" t="s">
        <v>113</v>
      </c>
      <c r="K30">
        <v>28527.039207943839</v>
      </c>
      <c r="L30">
        <v>11678.53985506235</v>
      </c>
      <c r="M30">
        <v>0</v>
      </c>
      <c r="N30">
        <v>46.594274195360427</v>
      </c>
      <c r="O30">
        <v>9506.9171703537249</v>
      </c>
      <c r="P30">
        <v>1500.9258445798309</v>
      </c>
      <c r="Q30">
        <v>13860.016809021319</v>
      </c>
      <c r="R30" s="5" t="s">
        <v>113</v>
      </c>
      <c r="S30" s="5">
        <v>0.75412685462635998</v>
      </c>
      <c r="T30" s="5">
        <v>17.736062761459792</v>
      </c>
      <c r="U30" s="5">
        <v>1.9511901921089041</v>
      </c>
      <c r="V30" s="5">
        <v>5.5083069363156394</v>
      </c>
      <c r="W30" s="5">
        <v>0.28608705897754921</v>
      </c>
      <c r="X30" s="5">
        <v>1.2321048167482169</v>
      </c>
    </row>
    <row r="31" spans="1:24" x14ac:dyDescent="0.25">
      <c r="A31" s="4" t="s">
        <v>114</v>
      </c>
      <c r="J31" t="s">
        <v>115</v>
      </c>
      <c r="K31">
        <v>445.44711702359609</v>
      </c>
      <c r="L31">
        <v>72.941055325340159</v>
      </c>
      <c r="M31">
        <v>0</v>
      </c>
      <c r="N31">
        <v>0.41760632666407382</v>
      </c>
      <c r="O31">
        <v>81.342636871198778</v>
      </c>
      <c r="P31">
        <v>25.19070115035888</v>
      </c>
      <c r="Q31">
        <v>193.61539993245361</v>
      </c>
      <c r="R31" s="5" t="s">
        <v>115</v>
      </c>
      <c r="S31" s="5">
        <v>1.265560144070977E-2</v>
      </c>
      <c r="T31" s="5">
        <v>2.5122321338963551E-2</v>
      </c>
      <c r="U31" s="5">
        <v>1.116570325461755E-2</v>
      </c>
      <c r="V31" s="5">
        <v>4.4037466219032564E-3</v>
      </c>
      <c r="W31" s="5">
        <v>1.5171555199421901E-3</v>
      </c>
      <c r="X31" s="5">
        <v>7.2524387877371177E-3</v>
      </c>
    </row>
    <row r="32" spans="1:24" x14ac:dyDescent="0.25">
      <c r="A32" s="4" t="s">
        <v>116</v>
      </c>
      <c r="J32" t="s">
        <v>117</v>
      </c>
      <c r="K32">
        <v>898.33814141114328</v>
      </c>
      <c r="L32">
        <v>172.46566844118291</v>
      </c>
      <c r="M32">
        <v>0</v>
      </c>
      <c r="N32">
        <v>1.130015988715642</v>
      </c>
      <c r="O32">
        <v>200.40747901647731</v>
      </c>
      <c r="P32">
        <v>68.415774255895883</v>
      </c>
      <c r="Q32">
        <v>363.22674955424509</v>
      </c>
      <c r="R32" s="5" t="s">
        <v>117</v>
      </c>
      <c r="S32" s="5">
        <v>3.4406760838325688E-2</v>
      </c>
      <c r="T32" s="5">
        <v>6.5050676480171835E-2</v>
      </c>
      <c r="U32" s="5">
        <v>3.4386218006003957E-2</v>
      </c>
      <c r="V32" s="5">
        <v>1.258003957026795E-2</v>
      </c>
      <c r="W32" s="5">
        <v>5.3704787084454539E-3</v>
      </c>
      <c r="X32" s="5">
        <v>1.9536673007940059E-2</v>
      </c>
    </row>
    <row r="33" spans="1:24" x14ac:dyDescent="0.25">
      <c r="A33" s="4" t="s">
        <v>118</v>
      </c>
      <c r="J33" t="s">
        <v>119</v>
      </c>
      <c r="K33">
        <v>32555.142765901921</v>
      </c>
      <c r="L33">
        <v>1701.216986857135</v>
      </c>
      <c r="M33">
        <v>0</v>
      </c>
      <c r="N33">
        <v>116.9577443394795</v>
      </c>
      <c r="O33">
        <v>2346.583958674405</v>
      </c>
      <c r="P33">
        <v>165620.99590560611</v>
      </c>
      <c r="Q33">
        <v>15143.69440494278</v>
      </c>
      <c r="R33" s="5" t="s">
        <v>119</v>
      </c>
      <c r="S33" s="5">
        <v>82.827668291930109</v>
      </c>
      <c r="T33" s="5">
        <v>10.0044561936564</v>
      </c>
      <c r="U33" s="5">
        <v>2.7463703967292772</v>
      </c>
      <c r="V33" s="5">
        <v>2.0495350379088402</v>
      </c>
      <c r="W33" s="5">
        <v>0.57012165303989248</v>
      </c>
      <c r="X33" s="5">
        <v>2.1216792802750368</v>
      </c>
    </row>
    <row r="34" spans="1:24" x14ac:dyDescent="0.25">
      <c r="A34" s="4" t="s">
        <v>120</v>
      </c>
      <c r="J34" t="s">
        <v>121</v>
      </c>
      <c r="K34">
        <v>271.19333015801971</v>
      </c>
      <c r="L34">
        <v>24.113304937588541</v>
      </c>
      <c r="M34">
        <v>0</v>
      </c>
      <c r="N34">
        <v>1.3505699999348071</v>
      </c>
      <c r="O34">
        <v>28.397738556501668</v>
      </c>
      <c r="P34">
        <v>70.142364098033852</v>
      </c>
      <c r="Q34">
        <v>77.921668413664136</v>
      </c>
      <c r="R34" s="5" t="s">
        <v>121</v>
      </c>
      <c r="S34" s="5">
        <v>3.5543274252760639E-2</v>
      </c>
      <c r="T34" s="5">
        <v>9.8901242957514693E-2</v>
      </c>
      <c r="U34" s="5">
        <v>0.48251745962359899</v>
      </c>
      <c r="V34" s="5">
        <v>1.130003302314958E-2</v>
      </c>
      <c r="W34" s="5">
        <v>6.6418678823458978E-3</v>
      </c>
      <c r="X34" s="5">
        <v>2.567067794468509E-2</v>
      </c>
    </row>
    <row r="35" spans="1:24" x14ac:dyDescent="0.25">
      <c r="J35" t="s">
        <v>122</v>
      </c>
      <c r="K35">
        <v>20539323.662644591</v>
      </c>
      <c r="L35">
        <v>965206.73106171936</v>
      </c>
      <c r="M35">
        <v>0</v>
      </c>
      <c r="N35">
        <v>69974.208762474023</v>
      </c>
      <c r="O35">
        <v>1213824.1667886181</v>
      </c>
      <c r="P35">
        <v>2932958.8066708869</v>
      </c>
      <c r="Q35">
        <v>10726257.50370804</v>
      </c>
      <c r="R35" s="5" t="s">
        <v>122</v>
      </c>
      <c r="S35" s="5">
        <v>1469.816822442938</v>
      </c>
      <c r="T35" s="5">
        <v>5952.1962980944618</v>
      </c>
      <c r="U35" s="5">
        <v>1533.6993207108751</v>
      </c>
      <c r="V35" s="5">
        <v>1260.3480744177621</v>
      </c>
      <c r="W35" s="5">
        <v>271.93694203406778</v>
      </c>
      <c r="X35" s="5">
        <v>981.07828346368183</v>
      </c>
    </row>
    <row r="36" spans="1:24" x14ac:dyDescent="0.25">
      <c r="J36" t="s">
        <v>123</v>
      </c>
      <c r="R36" s="5" t="s">
        <v>124</v>
      </c>
      <c r="S36" s="5">
        <v>1501.2299506237109</v>
      </c>
      <c r="T36" s="5">
        <v>5960.2399519282844</v>
      </c>
      <c r="U36" s="5">
        <v>1537.24430584317</v>
      </c>
      <c r="V36" s="5">
        <v>1282.60584831235</v>
      </c>
      <c r="W36" s="5">
        <v>275.17582773038112</v>
      </c>
      <c r="X36" s="5">
        <v>983.82083985796498</v>
      </c>
    </row>
    <row r="37" spans="1:24" x14ac:dyDescent="0.25">
      <c r="J37" t="s">
        <v>102</v>
      </c>
      <c r="K37">
        <v>188.5309425749129</v>
      </c>
      <c r="L37">
        <v>27.825041013166469</v>
      </c>
      <c r="M37">
        <v>0</v>
      </c>
      <c r="N37">
        <v>1.0348857738056889</v>
      </c>
      <c r="O37">
        <v>30.96632912867889</v>
      </c>
      <c r="P37">
        <v>93.586695401349672</v>
      </c>
      <c r="Q37">
        <v>74.522745841340253</v>
      </c>
      <c r="R37" s="6" t="s">
        <v>125</v>
      </c>
      <c r="S37" s="6">
        <v>3979.1977795942312</v>
      </c>
      <c r="T37" s="6">
        <v>6517.9237056296661</v>
      </c>
      <c r="U37" s="6">
        <v>1750.813410142945</v>
      </c>
      <c r="V37" s="6">
        <v>1346.766901457353</v>
      </c>
      <c r="W37" s="6">
        <v>293.97868292285028</v>
      </c>
      <c r="X37" s="6">
        <v>1068.1303672536019</v>
      </c>
    </row>
    <row r="38" spans="1:24" x14ac:dyDescent="0.25">
      <c r="J38" t="s">
        <v>105</v>
      </c>
      <c r="K38">
        <v>669.33780111588726</v>
      </c>
      <c r="L38">
        <v>69.713973784535625</v>
      </c>
      <c r="M38">
        <v>0</v>
      </c>
      <c r="N38">
        <v>4.8107834906856706</v>
      </c>
      <c r="O38">
        <v>81.016229563067611</v>
      </c>
      <c r="P38">
        <v>228.50113805721219</v>
      </c>
      <c r="Q38">
        <v>143.550044275022</v>
      </c>
      <c r="R38" s="5" t="s">
        <v>126</v>
      </c>
      <c r="S38" s="5"/>
      <c r="T38" s="5"/>
      <c r="U38" s="5" t="s">
        <v>83</v>
      </c>
      <c r="V38" s="5"/>
      <c r="W38" s="5"/>
      <c r="X38" s="5"/>
    </row>
    <row r="39" spans="1:24" x14ac:dyDescent="0.25">
      <c r="A39" t="s">
        <v>127</v>
      </c>
      <c r="J39" t="s">
        <v>128</v>
      </c>
      <c r="K39">
        <v>1439.945276233504</v>
      </c>
      <c r="L39">
        <v>338.28231984154041</v>
      </c>
      <c r="M39">
        <v>0</v>
      </c>
      <c r="N39">
        <v>9.6859793431654442</v>
      </c>
      <c r="O39">
        <v>383.67569316629442</v>
      </c>
      <c r="P39">
        <v>374.81381197548581</v>
      </c>
      <c r="Q39">
        <v>325.54597398594922</v>
      </c>
      <c r="R39" s="5" t="s">
        <v>102</v>
      </c>
      <c r="S39" s="5">
        <v>4.6796729453438803E-2</v>
      </c>
      <c r="T39" s="5">
        <v>4.8101528301944342E-2</v>
      </c>
      <c r="U39" s="5">
        <v>1.9942111903999461E-2</v>
      </c>
      <c r="V39" s="5">
        <v>2.7689780516382029E-3</v>
      </c>
      <c r="W39" s="5">
        <v>2.4819348950531712E-3</v>
      </c>
      <c r="X39" s="5">
        <v>9.3182219820127834E-3</v>
      </c>
    </row>
    <row r="40" spans="1:24" x14ac:dyDescent="0.25">
      <c r="A40" t="s">
        <v>129</v>
      </c>
      <c r="B40" t="s">
        <v>130</v>
      </c>
      <c r="C40" t="s">
        <v>131</v>
      </c>
      <c r="E40" t="s">
        <v>127</v>
      </c>
      <c r="F40" t="s">
        <v>132</v>
      </c>
      <c r="J40" t="s">
        <v>109</v>
      </c>
      <c r="K40">
        <v>153.83409674671739</v>
      </c>
      <c r="L40">
        <v>29.28464003526253</v>
      </c>
      <c r="M40">
        <v>0</v>
      </c>
      <c r="N40">
        <v>1.125951258733578</v>
      </c>
      <c r="O40">
        <v>31.789143029508171</v>
      </c>
      <c r="P40">
        <v>38.534017529723357</v>
      </c>
      <c r="Q40">
        <v>36.759981231661563</v>
      </c>
      <c r="R40" s="5" t="s">
        <v>105</v>
      </c>
      <c r="S40" s="5">
        <v>0.114150598824473</v>
      </c>
      <c r="T40" s="5">
        <v>0.33911812073249081</v>
      </c>
      <c r="U40" s="5">
        <v>0.11793377379204149</v>
      </c>
      <c r="V40" s="5">
        <v>2.6098879772240308E-2</v>
      </c>
      <c r="W40" s="5">
        <v>2.1348333339808508E-2</v>
      </c>
      <c r="X40" s="5">
        <v>5.9694975380543809E-2</v>
      </c>
    </row>
    <row r="41" spans="1:24" x14ac:dyDescent="0.25">
      <c r="A41" t="s">
        <v>133</v>
      </c>
      <c r="B41" t="s">
        <v>134</v>
      </c>
      <c r="C41">
        <v>145.78</v>
      </c>
      <c r="E41" t="s">
        <v>135</v>
      </c>
      <c r="F41">
        <f>C46+C55+C61</f>
        <v>71</v>
      </c>
      <c r="J41" t="s">
        <v>111</v>
      </c>
      <c r="K41">
        <v>124.565110472773</v>
      </c>
      <c r="L41">
        <v>26.350106499761829</v>
      </c>
      <c r="M41">
        <v>0</v>
      </c>
      <c r="N41">
        <v>0.94456086447736609</v>
      </c>
      <c r="O41">
        <v>28.775036306889099</v>
      </c>
      <c r="P41">
        <v>32.113793146498622</v>
      </c>
      <c r="Q41">
        <v>30.07592460247675</v>
      </c>
      <c r="R41" s="5" t="s">
        <v>128</v>
      </c>
      <c r="S41" s="5">
        <v>0.18776352574345079</v>
      </c>
      <c r="T41" s="5">
        <v>0.70244873751899117</v>
      </c>
      <c r="U41" s="5">
        <v>0.25503096150502869</v>
      </c>
      <c r="V41" s="5">
        <v>5.1733575860751543E-2</v>
      </c>
      <c r="W41" s="5">
        <v>4.0337358940269817E-2</v>
      </c>
      <c r="X41" s="5">
        <v>0.105469926433457</v>
      </c>
    </row>
    <row r="42" spans="1:24" x14ac:dyDescent="0.25">
      <c r="A42" t="s">
        <v>133</v>
      </c>
      <c r="B42" t="s">
        <v>136</v>
      </c>
      <c r="C42">
        <v>3.04</v>
      </c>
      <c r="E42" t="s">
        <v>101</v>
      </c>
      <c r="F42">
        <f>C55+C61</f>
        <v>52.5</v>
      </c>
      <c r="G42" s="14">
        <f>F42/F41</f>
        <v>0.73943661971830987</v>
      </c>
      <c r="J42" t="s">
        <v>113</v>
      </c>
      <c r="K42">
        <v>1479.3492092750021</v>
      </c>
      <c r="L42">
        <v>221.06541912214271</v>
      </c>
      <c r="M42">
        <v>0</v>
      </c>
      <c r="N42">
        <v>9.1371445470114701</v>
      </c>
      <c r="O42">
        <v>240.8596900555774</v>
      </c>
      <c r="P42">
        <v>232.94797472766319</v>
      </c>
      <c r="Q42">
        <v>305.78748448865798</v>
      </c>
      <c r="R42" s="5" t="s">
        <v>109</v>
      </c>
      <c r="S42" s="5">
        <v>1.9299563197852421E-2</v>
      </c>
      <c r="T42" s="5">
        <v>7.3860551462224117E-2</v>
      </c>
      <c r="U42" s="5">
        <v>2.750057221276913E-2</v>
      </c>
      <c r="V42" s="5">
        <v>4.8809640082502284E-3</v>
      </c>
      <c r="W42" s="5">
        <v>3.9815572193134217E-3</v>
      </c>
      <c r="X42" s="5">
        <v>8.7658399018482689E-3</v>
      </c>
    </row>
    <row r="43" spans="1:24" x14ac:dyDescent="0.25">
      <c r="A43" t="s">
        <v>133</v>
      </c>
      <c r="B43" t="s">
        <v>74</v>
      </c>
      <c r="C43">
        <v>74.44</v>
      </c>
      <c r="J43" t="s">
        <v>115</v>
      </c>
      <c r="K43">
        <v>7.6057488941921854</v>
      </c>
      <c r="L43">
        <v>3.3920659780747342</v>
      </c>
      <c r="M43">
        <v>0</v>
      </c>
      <c r="N43">
        <v>5.1015627448604682E-2</v>
      </c>
      <c r="O43">
        <v>3.894672845491451</v>
      </c>
      <c r="P43">
        <v>2.5383378908573602</v>
      </c>
      <c r="Q43">
        <v>2.3014375476604898</v>
      </c>
      <c r="R43" s="5" t="s">
        <v>111</v>
      </c>
      <c r="S43" s="5">
        <v>1.6086015923671759E-2</v>
      </c>
      <c r="T43" s="5">
        <v>6.0024423549432541E-2</v>
      </c>
      <c r="U43" s="5">
        <v>2.297383951436827E-2</v>
      </c>
      <c r="V43" s="5">
        <v>4.0787475601256383E-3</v>
      </c>
      <c r="W43" s="5">
        <v>3.327628429072119E-3</v>
      </c>
      <c r="X43" s="5">
        <v>7.2414510697180216E-3</v>
      </c>
    </row>
    <row r="44" spans="1:24" x14ac:dyDescent="0.25">
      <c r="A44" t="s">
        <v>133</v>
      </c>
      <c r="B44" t="s">
        <v>137</v>
      </c>
      <c r="C44">
        <v>4.5599999999999996</v>
      </c>
      <c r="E44" t="s">
        <v>138</v>
      </c>
      <c r="J44" t="s">
        <v>117</v>
      </c>
      <c r="K44">
        <v>19.55367053905897</v>
      </c>
      <c r="L44">
        <v>9.44863970736567</v>
      </c>
      <c r="M44">
        <v>0</v>
      </c>
      <c r="N44">
        <v>0.24457941051421489</v>
      </c>
      <c r="O44">
        <v>10.53679841365914</v>
      </c>
      <c r="P44">
        <v>7.4517139106990768</v>
      </c>
      <c r="Q44">
        <v>4.6561887255908578</v>
      </c>
      <c r="R44" s="5" t="s">
        <v>113</v>
      </c>
      <c r="S44" s="5">
        <v>0.1167272157613873</v>
      </c>
      <c r="T44" s="5">
        <v>0.72722318258249063</v>
      </c>
      <c r="U44" s="5">
        <v>0.24062203718247069</v>
      </c>
      <c r="V44" s="5">
        <v>4.3139112477266123E-2</v>
      </c>
      <c r="W44" s="5">
        <v>3.4999804581568497E-2</v>
      </c>
      <c r="X44" s="5">
        <v>8.1023353809735341E-2</v>
      </c>
    </row>
    <row r="45" spans="1:24" x14ac:dyDescent="0.25">
      <c r="A45" t="s">
        <v>133</v>
      </c>
      <c r="B45" t="s">
        <v>40</v>
      </c>
      <c r="C45">
        <v>32</v>
      </c>
      <c r="E45" t="s">
        <v>98</v>
      </c>
      <c r="F45">
        <v>45.5</v>
      </c>
      <c r="J45" s="6" t="s">
        <v>139</v>
      </c>
      <c r="K45" s="6">
        <f t="shared" ref="K45:Q45" si="0">K35*$K$55+SUM(K33:K34,$K$56:$K$57)+SUMPRODUCT(K25:K27,$K$60:$K$62)+SUMPRODUCT(K31:K32,$K$63:$K$64)</f>
        <v>20572452.798740651</v>
      </c>
      <c r="L45" s="6">
        <f t="shared" si="0"/>
        <v>967234.86135351413</v>
      </c>
      <c r="M45" s="6">
        <f t="shared" si="0"/>
        <v>302.8</v>
      </c>
      <c r="N45" s="6">
        <f t="shared" si="0"/>
        <v>70395.317076813444</v>
      </c>
      <c r="O45" s="6">
        <f t="shared" si="0"/>
        <v>1216501.948485849</v>
      </c>
      <c r="P45" s="6">
        <f t="shared" si="0"/>
        <v>3098952.744940591</v>
      </c>
      <c r="Q45" s="6">
        <f t="shared" si="0"/>
        <v>10741781.919781396</v>
      </c>
      <c r="R45" s="5" t="s">
        <v>115</v>
      </c>
      <c r="S45" s="5">
        <v>1.2724950047081701E-3</v>
      </c>
      <c r="T45" s="5">
        <v>2.9910563281969988E-3</v>
      </c>
      <c r="U45" s="5">
        <v>1.314018458085981E-3</v>
      </c>
      <c r="V45" s="5">
        <v>1.8926925069675851E-4</v>
      </c>
      <c r="W45" s="5">
        <v>1.5640516129445111E-4</v>
      </c>
      <c r="X45" s="5">
        <v>3.7024357869892388E-4</v>
      </c>
    </row>
    <row r="46" spans="1:24" x14ac:dyDescent="0.25">
      <c r="A46" t="s">
        <v>133</v>
      </c>
      <c r="B46" t="s">
        <v>140</v>
      </c>
      <c r="C46">
        <v>18.5</v>
      </c>
      <c r="E46" t="s">
        <v>101</v>
      </c>
      <c r="F46">
        <v>38</v>
      </c>
      <c r="G46" s="14">
        <v>0.8351648351648352</v>
      </c>
      <c r="J46" s="6" t="s">
        <v>141</v>
      </c>
      <c r="K46" s="6">
        <f t="shared" ref="K46:Q46" si="1">1/2000*2.20462*K45/1000</f>
        <v>22.67722044457981</v>
      </c>
      <c r="L46" s="6">
        <f t="shared" si="1"/>
        <v>1.0661926600185923</v>
      </c>
      <c r="M46" s="6">
        <f t="shared" si="1"/>
        <v>3.33779468E-4</v>
      </c>
      <c r="N46" s="6">
        <f t="shared" si="1"/>
        <v>7.7597461966942227E-2</v>
      </c>
      <c r="O46" s="6">
        <f t="shared" si="1"/>
        <v>1.3409622628354361</v>
      </c>
      <c r="P46" s="6">
        <f t="shared" si="1"/>
        <v>3.416006600275463</v>
      </c>
      <c r="Q46" s="6">
        <f t="shared" si="1"/>
        <v>11.840773627994231</v>
      </c>
      <c r="R46" s="5" t="s">
        <v>117</v>
      </c>
      <c r="S46" s="5">
        <v>3.736316007827718E-3</v>
      </c>
      <c r="T46" s="5">
        <v>1.1516094314452529E-2</v>
      </c>
      <c r="U46" s="5">
        <v>5.7975643883269807E-3</v>
      </c>
      <c r="V46" s="5">
        <v>1.141982031568122E-3</v>
      </c>
      <c r="W46" s="5">
        <v>9.0140816152213467E-4</v>
      </c>
      <c r="X46" s="5">
        <v>1.6928491865244419E-3</v>
      </c>
    </row>
    <row r="47" spans="1:24" x14ac:dyDescent="0.25">
      <c r="A47" t="s">
        <v>133</v>
      </c>
      <c r="B47" t="s">
        <v>45</v>
      </c>
      <c r="C47">
        <v>7.23</v>
      </c>
      <c r="R47" s="6" t="s">
        <v>141</v>
      </c>
      <c r="S47" s="6">
        <f t="shared" ref="S47:X47" si="2">2.20462*S37/1000</f>
        <v>8.7726190088490323</v>
      </c>
      <c r="T47" s="6">
        <f t="shared" si="2"/>
        <v>14.369544959905273</v>
      </c>
      <c r="U47" s="6">
        <f t="shared" si="2"/>
        <v>3.8598782602693391</v>
      </c>
      <c r="V47" s="6">
        <f t="shared" si="2"/>
        <v>2.969109246290909</v>
      </c>
      <c r="W47" s="6">
        <f t="shared" si="2"/>
        <v>0.64811128394537409</v>
      </c>
      <c r="X47" s="6">
        <f t="shared" si="2"/>
        <v>2.3548215702546353</v>
      </c>
    </row>
    <row r="48" spans="1:24" x14ac:dyDescent="0.25">
      <c r="A48" t="s">
        <v>133</v>
      </c>
      <c r="B48" t="s">
        <v>49</v>
      </c>
      <c r="C48">
        <v>20.190000000000001</v>
      </c>
    </row>
    <row r="49" spans="1:18" x14ac:dyDescent="0.25">
      <c r="A49" t="s">
        <v>133</v>
      </c>
      <c r="B49" t="s">
        <v>53</v>
      </c>
      <c r="C49">
        <v>20.190000000000001</v>
      </c>
    </row>
    <row r="50" spans="1:18" x14ac:dyDescent="0.25">
      <c r="A50" t="s">
        <v>133</v>
      </c>
      <c r="B50" t="s">
        <v>58</v>
      </c>
      <c r="C50">
        <v>3.23</v>
      </c>
    </row>
    <row r="51" spans="1:18" x14ac:dyDescent="0.25">
      <c r="A51" t="s">
        <v>133</v>
      </c>
      <c r="B51" t="s">
        <v>60</v>
      </c>
      <c r="C51">
        <v>0.72</v>
      </c>
      <c r="J51" s="5" t="s">
        <v>142</v>
      </c>
      <c r="K51" s="5"/>
    </row>
    <row r="52" spans="1:18" x14ac:dyDescent="0.25">
      <c r="A52" t="s">
        <v>133</v>
      </c>
      <c r="B52" t="s">
        <v>64</v>
      </c>
      <c r="C52">
        <v>0.82</v>
      </c>
      <c r="J52" s="5" t="s">
        <v>143</v>
      </c>
      <c r="K52" s="5"/>
      <c r="O52" t="s">
        <v>144</v>
      </c>
    </row>
    <row r="53" spans="1:18" x14ac:dyDescent="0.25">
      <c r="A53" t="s">
        <v>133</v>
      </c>
      <c r="B53" t="s">
        <v>145</v>
      </c>
      <c r="C53">
        <v>331.57</v>
      </c>
      <c r="J53" s="5" t="s">
        <v>146</v>
      </c>
      <c r="K53" s="5" t="s">
        <v>147</v>
      </c>
      <c r="P53" t="s">
        <v>132</v>
      </c>
    </row>
    <row r="54" spans="1:18" x14ac:dyDescent="0.25">
      <c r="A54" t="s">
        <v>148</v>
      </c>
      <c r="B54" t="s">
        <v>40</v>
      </c>
      <c r="C54">
        <v>0.48</v>
      </c>
      <c r="J54" s="5" t="s">
        <v>149</v>
      </c>
      <c r="K54" s="5">
        <v>100</v>
      </c>
      <c r="P54" t="s">
        <v>93</v>
      </c>
    </row>
    <row r="55" spans="1:18" x14ac:dyDescent="0.25">
      <c r="A55" t="s">
        <v>148</v>
      </c>
      <c r="B55" t="s">
        <v>140</v>
      </c>
      <c r="C55">
        <v>16.13</v>
      </c>
      <c r="J55" s="5" t="s">
        <v>150</v>
      </c>
      <c r="K55" s="5">
        <v>1</v>
      </c>
      <c r="P55" t="s">
        <v>151</v>
      </c>
      <c r="Q55" t="s">
        <v>152</v>
      </c>
      <c r="R55" t="s">
        <v>153</v>
      </c>
    </row>
    <row r="56" spans="1:18" x14ac:dyDescent="0.25">
      <c r="A56" t="s">
        <v>148</v>
      </c>
      <c r="B56" t="s">
        <v>60</v>
      </c>
      <c r="C56">
        <v>0.13</v>
      </c>
      <c r="J56" s="5" t="s">
        <v>154</v>
      </c>
      <c r="K56" s="5">
        <v>29.8</v>
      </c>
      <c r="O56" t="s">
        <v>155</v>
      </c>
    </row>
    <row r="57" spans="1:18" x14ac:dyDescent="0.25">
      <c r="A57" t="s">
        <v>148</v>
      </c>
      <c r="B57" t="s">
        <v>156</v>
      </c>
      <c r="C57">
        <v>0.12</v>
      </c>
      <c r="J57" s="5" t="s">
        <v>157</v>
      </c>
      <c r="K57" s="5">
        <v>273</v>
      </c>
      <c r="O57" t="s">
        <v>85</v>
      </c>
      <c r="P57">
        <v>3.3023140572429059</v>
      </c>
      <c r="Q57">
        <v>6.351985514664392</v>
      </c>
      <c r="R57">
        <v>21.175624652877289</v>
      </c>
    </row>
    <row r="58" spans="1:18" x14ac:dyDescent="0.25">
      <c r="A58" t="s">
        <v>148</v>
      </c>
      <c r="B58" t="s">
        <v>158</v>
      </c>
      <c r="C58">
        <v>1.1200000000000001</v>
      </c>
      <c r="J58" s="5"/>
      <c r="K58" s="5"/>
      <c r="O58" t="s">
        <v>88</v>
      </c>
      <c r="P58">
        <v>2.8384429440418968</v>
      </c>
      <c r="Q58">
        <v>6.0425599923649642</v>
      </c>
      <c r="R58">
        <v>18.38352430269882</v>
      </c>
    </row>
    <row r="59" spans="1:18" x14ac:dyDescent="0.25">
      <c r="A59" t="s">
        <v>148</v>
      </c>
      <c r="B59" t="s">
        <v>159</v>
      </c>
      <c r="C59">
        <v>17.989999999999998</v>
      </c>
      <c r="J59" s="5" t="s">
        <v>160</v>
      </c>
      <c r="K59" s="5"/>
      <c r="O59" t="s">
        <v>90</v>
      </c>
      <c r="P59">
        <v>1.0557679461642671</v>
      </c>
      <c r="Q59">
        <v>3.5060780849134239</v>
      </c>
      <c r="R59">
        <v>9.2379758166824786</v>
      </c>
    </row>
    <row r="60" spans="1:18" x14ac:dyDescent="0.25">
      <c r="A60" t="s">
        <v>161</v>
      </c>
      <c r="B60" t="s">
        <v>40</v>
      </c>
      <c r="C60">
        <v>0.1</v>
      </c>
      <c r="J60" s="5" t="s">
        <v>162</v>
      </c>
      <c r="K60" s="5">
        <v>0</v>
      </c>
      <c r="O60" t="s">
        <v>92</v>
      </c>
      <c r="P60">
        <v>1.14736454064708</v>
      </c>
      <c r="Q60">
        <v>4.2133590204150657</v>
      </c>
      <c r="R60">
        <v>9.7874108149495171</v>
      </c>
    </row>
    <row r="61" spans="1:18" x14ac:dyDescent="0.25">
      <c r="A61" t="s">
        <v>161</v>
      </c>
      <c r="B61" t="s">
        <v>140</v>
      </c>
      <c r="C61">
        <v>36.369999999999997</v>
      </c>
      <c r="J61" s="5" t="s">
        <v>163</v>
      </c>
      <c r="K61" s="5">
        <v>0</v>
      </c>
      <c r="O61" t="s">
        <v>94</v>
      </c>
      <c r="P61">
        <v>0.63531045723054991</v>
      </c>
      <c r="Q61">
        <v>2.794554780875337</v>
      </c>
      <c r="R61">
        <v>3.8295695649056838</v>
      </c>
    </row>
    <row r="62" spans="1:18" x14ac:dyDescent="0.25">
      <c r="A62" t="s">
        <v>161</v>
      </c>
      <c r="B62" t="s">
        <v>67</v>
      </c>
      <c r="C62">
        <v>2.71</v>
      </c>
      <c r="J62" s="5" t="s">
        <v>164</v>
      </c>
      <c r="K62" s="5">
        <v>0</v>
      </c>
      <c r="O62" t="s">
        <v>165</v>
      </c>
      <c r="P62">
        <v>1202.5209851035561</v>
      </c>
      <c r="Q62">
        <v>1471.279607989806</v>
      </c>
      <c r="R62">
        <v>2237.41313700202</v>
      </c>
    </row>
    <row r="63" spans="1:18" x14ac:dyDescent="0.25">
      <c r="A63" t="s">
        <v>161</v>
      </c>
      <c r="B63" t="s">
        <v>156</v>
      </c>
      <c r="C63">
        <v>1.1599999999999999</v>
      </c>
      <c r="J63" s="5" t="s">
        <v>166</v>
      </c>
      <c r="K63" s="5">
        <v>0</v>
      </c>
      <c r="O63" t="s">
        <v>167</v>
      </c>
    </row>
    <row r="64" spans="1:18" x14ac:dyDescent="0.25">
      <c r="A64" t="s">
        <v>161</v>
      </c>
      <c r="B64" t="s">
        <v>168</v>
      </c>
      <c r="C64">
        <v>10.94</v>
      </c>
      <c r="J64" s="5" t="s">
        <v>169</v>
      </c>
      <c r="K64" s="5">
        <v>0</v>
      </c>
      <c r="O64" t="s">
        <v>102</v>
      </c>
      <c r="P64">
        <v>55.211574013227803</v>
      </c>
      <c r="Q64">
        <v>111.0663160167846</v>
      </c>
      <c r="R64">
        <v>253.97031899967541</v>
      </c>
    </row>
    <row r="65" spans="1:18" x14ac:dyDescent="0.25">
      <c r="A65" t="s">
        <v>161</v>
      </c>
      <c r="B65" t="s">
        <v>158</v>
      </c>
      <c r="C65">
        <v>4.5</v>
      </c>
      <c r="O65" t="s">
        <v>105</v>
      </c>
      <c r="P65">
        <v>220.28679878102869</v>
      </c>
      <c r="Q65">
        <v>478.39066982480108</v>
      </c>
      <c r="R65">
        <v>948.65343487100665</v>
      </c>
    </row>
    <row r="66" spans="1:18" x14ac:dyDescent="0.25">
      <c r="A66" t="s">
        <v>161</v>
      </c>
      <c r="B66" t="s">
        <v>170</v>
      </c>
      <c r="C66">
        <v>55.79</v>
      </c>
      <c r="O66" t="s">
        <v>107</v>
      </c>
      <c r="P66">
        <v>510.67496529709967</v>
      </c>
      <c r="Q66">
        <v>925.18296788136911</v>
      </c>
      <c r="R66">
        <v>2029.791469608617</v>
      </c>
    </row>
    <row r="67" spans="1:18" x14ac:dyDescent="0.25">
      <c r="A67" t="s">
        <v>171</v>
      </c>
      <c r="B67" t="s">
        <v>172</v>
      </c>
      <c r="C67">
        <v>405.34</v>
      </c>
      <c r="O67" t="s">
        <v>109</v>
      </c>
      <c r="P67">
        <v>44.27750578147193</v>
      </c>
      <c r="Q67">
        <v>75.658013056490418</v>
      </c>
      <c r="R67">
        <v>224.4962497643595</v>
      </c>
    </row>
    <row r="68" spans="1:18" x14ac:dyDescent="0.25">
      <c r="O68" t="s">
        <v>111</v>
      </c>
      <c r="P68">
        <v>33.78986895515974</v>
      </c>
      <c r="Q68">
        <v>60.604522016463747</v>
      </c>
      <c r="R68">
        <v>156.8386401637502</v>
      </c>
    </row>
    <row r="69" spans="1:18" x14ac:dyDescent="0.25">
      <c r="O69" t="s">
        <v>113</v>
      </c>
      <c r="P69">
        <v>392.30418860143692</v>
      </c>
      <c r="Q69">
        <v>383.65352325108648</v>
      </c>
      <c r="R69">
        <v>1114.0407345677111</v>
      </c>
    </row>
    <row r="70" spans="1:18" x14ac:dyDescent="0.25">
      <c r="O70" t="s">
        <v>115</v>
      </c>
      <c r="P70">
        <v>12.54998808666563</v>
      </c>
      <c r="Q70">
        <v>21.70518161631917</v>
      </c>
      <c r="R70">
        <v>31.642403916070741</v>
      </c>
    </row>
    <row r="71" spans="1:18" x14ac:dyDescent="0.25">
      <c r="O71" t="s">
        <v>117</v>
      </c>
      <c r="P71">
        <v>7.7379775270365379</v>
      </c>
      <c r="Q71">
        <v>13.76295336862086</v>
      </c>
      <c r="R71">
        <v>39.858677216998821</v>
      </c>
    </row>
    <row r="72" spans="1:18" x14ac:dyDescent="0.25">
      <c r="O72" t="s">
        <v>119</v>
      </c>
      <c r="P72">
        <v>420.09707941801162</v>
      </c>
      <c r="Q72">
        <v>1008.713338845303</v>
      </c>
      <c r="R72">
        <v>2982.521560275999</v>
      </c>
    </row>
    <row r="73" spans="1:18" x14ac:dyDescent="0.25">
      <c r="O73" t="s">
        <v>121</v>
      </c>
      <c r="P73">
        <v>4.3018654459626493</v>
      </c>
      <c r="Q73">
        <v>9.7605552066137662</v>
      </c>
      <c r="R73">
        <v>28.30312680771414</v>
      </c>
    </row>
    <row r="74" spans="1:18" x14ac:dyDescent="0.25">
      <c r="O74" t="s">
        <v>122</v>
      </c>
      <c r="P74">
        <v>1305047.693659164</v>
      </c>
      <c r="Q74">
        <v>681863.68189534917</v>
      </c>
      <c r="R74">
        <v>1656432.712446284</v>
      </c>
    </row>
    <row r="75" spans="1:18" x14ac:dyDescent="0.25">
      <c r="O75" t="s">
        <v>124</v>
      </c>
      <c r="P75">
        <v>1305565.934701018</v>
      </c>
      <c r="Q75">
        <v>682961.59534713568</v>
      </c>
      <c r="R75">
        <v>1658714.9943857731</v>
      </c>
    </row>
    <row r="76" spans="1:18" x14ac:dyDescent="0.25">
      <c r="O76" s="13" t="s">
        <v>125</v>
      </c>
      <c r="P76" s="13">
        <v>1319259.236934423</v>
      </c>
      <c r="Q76" s="13">
        <v>715685.8844161313</v>
      </c>
      <c r="R76" s="13">
        <v>1755320.8905005041</v>
      </c>
    </row>
    <row r="77" spans="1:18" x14ac:dyDescent="0.25">
      <c r="O77" t="s">
        <v>173</v>
      </c>
    </row>
    <row r="78" spans="1:18" x14ac:dyDescent="0.25">
      <c r="O78" t="s">
        <v>102</v>
      </c>
      <c r="P78">
        <v>0</v>
      </c>
      <c r="Q78">
        <v>0</v>
      </c>
      <c r="R78">
        <v>0</v>
      </c>
    </row>
    <row r="79" spans="1:18" x14ac:dyDescent="0.25">
      <c r="O79" t="s">
        <v>105</v>
      </c>
      <c r="P79">
        <v>0</v>
      </c>
      <c r="Q79">
        <v>0</v>
      </c>
      <c r="R79">
        <v>0</v>
      </c>
    </row>
    <row r="80" spans="1:18" x14ac:dyDescent="0.25">
      <c r="O80" t="s">
        <v>128</v>
      </c>
      <c r="P80">
        <v>0</v>
      </c>
      <c r="Q80">
        <v>0</v>
      </c>
      <c r="R80">
        <v>0</v>
      </c>
    </row>
    <row r="81" spans="15:18" x14ac:dyDescent="0.25">
      <c r="O81" t="s">
        <v>109</v>
      </c>
      <c r="P81">
        <v>0</v>
      </c>
      <c r="Q81">
        <v>0</v>
      </c>
      <c r="R81">
        <v>0</v>
      </c>
    </row>
    <row r="82" spans="15:18" x14ac:dyDescent="0.25">
      <c r="O82" t="s">
        <v>111</v>
      </c>
      <c r="P82">
        <v>0</v>
      </c>
      <c r="Q82">
        <v>0</v>
      </c>
      <c r="R82">
        <v>0</v>
      </c>
    </row>
    <row r="83" spans="15:18" x14ac:dyDescent="0.25">
      <c r="O83" t="s">
        <v>113</v>
      </c>
      <c r="P83">
        <v>0</v>
      </c>
      <c r="Q83">
        <v>0</v>
      </c>
      <c r="R83">
        <v>0</v>
      </c>
    </row>
    <row r="84" spans="15:18" x14ac:dyDescent="0.25">
      <c r="O84" t="s">
        <v>115</v>
      </c>
      <c r="P84">
        <v>0</v>
      </c>
      <c r="Q84">
        <v>0</v>
      </c>
      <c r="R84">
        <v>0</v>
      </c>
    </row>
    <row r="85" spans="15:18" x14ac:dyDescent="0.25">
      <c r="O85" t="s">
        <v>117</v>
      </c>
      <c r="P85">
        <v>0</v>
      </c>
      <c r="Q85">
        <v>0</v>
      </c>
      <c r="R85">
        <v>0</v>
      </c>
    </row>
    <row r="86" spans="15:18" x14ac:dyDescent="0.25">
      <c r="O86" s="6" t="s">
        <v>174</v>
      </c>
      <c r="P86" s="6">
        <f>P76/2000*2.205/1000</f>
        <v>1.4544833087202014</v>
      </c>
      <c r="Q86" s="6">
        <f>Q76/2000*2.205/1000</f>
        <v>0.78904368756878474</v>
      </c>
      <c r="R86" s="6">
        <f>R76/2000*2.205/1000</f>
        <v>1.9352412817768057</v>
      </c>
    </row>
    <row r="89" spans="15:18" x14ac:dyDescent="0.25">
      <c r="O89" t="s">
        <v>175</v>
      </c>
    </row>
    <row r="90" spans="15:18" x14ac:dyDescent="0.25">
      <c r="P90" t="s">
        <v>176</v>
      </c>
      <c r="R90" t="s">
        <v>132</v>
      </c>
    </row>
    <row r="91" spans="15:18" x14ac:dyDescent="0.25">
      <c r="P91" t="s">
        <v>151</v>
      </c>
      <c r="Q91" t="s">
        <v>152</v>
      </c>
      <c r="R91" t="s">
        <v>153</v>
      </c>
    </row>
    <row r="92" spans="15:18" x14ac:dyDescent="0.25">
      <c r="O92" t="s">
        <v>177</v>
      </c>
    </row>
    <row r="93" spans="15:18" x14ac:dyDescent="0.25">
      <c r="O93" t="s">
        <v>85</v>
      </c>
      <c r="P93">
        <v>0</v>
      </c>
      <c r="Q93">
        <v>9.3511552100146584</v>
      </c>
      <c r="R93">
        <v>31.77835178795036</v>
      </c>
    </row>
    <row r="94" spans="15:18" x14ac:dyDescent="0.25">
      <c r="O94" t="s">
        <v>88</v>
      </c>
      <c r="P94">
        <v>0</v>
      </c>
      <c r="Q94">
        <v>8.8956305432341995</v>
      </c>
      <c r="R94">
        <v>27.588234678787551</v>
      </c>
    </row>
    <row r="95" spans="15:18" x14ac:dyDescent="0.25">
      <c r="O95" t="s">
        <v>90</v>
      </c>
      <c r="P95">
        <v>0</v>
      </c>
      <c r="Q95">
        <v>5.161516863469835</v>
      </c>
      <c r="R95">
        <v>13.863470387459129</v>
      </c>
    </row>
    <row r="96" spans="15:18" x14ac:dyDescent="0.25">
      <c r="O96" t="s">
        <v>92</v>
      </c>
      <c r="P96">
        <v>0</v>
      </c>
      <c r="Q96">
        <v>6.2027493709576396</v>
      </c>
      <c r="R96">
        <v>14.68800987310634</v>
      </c>
    </row>
    <row r="97" spans="15:18" x14ac:dyDescent="0.25">
      <c r="O97" t="s">
        <v>94</v>
      </c>
      <c r="P97">
        <v>0</v>
      </c>
      <c r="Q97">
        <v>4.1140388998879001</v>
      </c>
      <c r="R97">
        <v>5.7470516608096798</v>
      </c>
    </row>
    <row r="98" spans="15:18" x14ac:dyDescent="0.25">
      <c r="O98" t="s">
        <v>165</v>
      </c>
      <c r="P98">
        <v>0</v>
      </c>
      <c r="Q98">
        <v>2165.9627434413492</v>
      </c>
      <c r="R98">
        <v>3357.6956018140759</v>
      </c>
    </row>
    <row r="99" spans="15:18" x14ac:dyDescent="0.25">
      <c r="O99" t="s">
        <v>178</v>
      </c>
    </row>
    <row r="100" spans="15:18" x14ac:dyDescent="0.25">
      <c r="O100" t="s">
        <v>102</v>
      </c>
      <c r="P100">
        <v>0</v>
      </c>
      <c r="Q100">
        <v>163.50767130682991</v>
      </c>
      <c r="R100">
        <v>381.13435958419421</v>
      </c>
    </row>
    <row r="101" spans="15:18" x14ac:dyDescent="0.25">
      <c r="O101" t="s">
        <v>105</v>
      </c>
      <c r="P101">
        <v>0</v>
      </c>
      <c r="Q101">
        <v>704.26882967962013</v>
      </c>
      <c r="R101">
        <v>1423.6483254855041</v>
      </c>
    </row>
    <row r="102" spans="15:18" x14ac:dyDescent="0.25">
      <c r="O102" t="s">
        <v>107</v>
      </c>
      <c r="P102">
        <v>0</v>
      </c>
      <c r="Q102">
        <v>1362.019719715591</v>
      </c>
      <c r="R102">
        <v>3046.116864781075</v>
      </c>
    </row>
    <row r="103" spans="15:18" x14ac:dyDescent="0.25">
      <c r="O103" t="s">
        <v>109</v>
      </c>
      <c r="P103">
        <v>0</v>
      </c>
      <c r="Q103">
        <v>111.38089363384481</v>
      </c>
      <c r="R103">
        <v>336.90249600821193</v>
      </c>
    </row>
    <row r="104" spans="15:18" x14ac:dyDescent="0.25">
      <c r="O104" t="s">
        <v>111</v>
      </c>
      <c r="P104">
        <v>0</v>
      </c>
      <c r="Q104">
        <v>89.219707837234552</v>
      </c>
      <c r="R104">
        <v>235.36842774506729</v>
      </c>
    </row>
    <row r="105" spans="15:18" x14ac:dyDescent="0.25">
      <c r="O105" t="s">
        <v>113</v>
      </c>
      <c r="P105">
        <v>0</v>
      </c>
      <c r="Q105">
        <v>564.80035014365569</v>
      </c>
      <c r="R105">
        <v>1671.8457636804101</v>
      </c>
    </row>
    <row r="106" spans="15:18" x14ac:dyDescent="0.25">
      <c r="O106" t="s">
        <v>115</v>
      </c>
      <c r="P106">
        <v>0</v>
      </c>
      <c r="Q106">
        <v>31.953555575209979</v>
      </c>
      <c r="R106">
        <v>47.485892838806222</v>
      </c>
    </row>
    <row r="107" spans="15:18" x14ac:dyDescent="0.25">
      <c r="O107" t="s">
        <v>117</v>
      </c>
      <c r="P107">
        <v>0</v>
      </c>
      <c r="Q107">
        <v>20.261304563911239</v>
      </c>
      <c r="R107">
        <v>59.816089828171492</v>
      </c>
    </row>
    <row r="108" spans="15:18" x14ac:dyDescent="0.25">
      <c r="O108" t="s">
        <v>119</v>
      </c>
      <c r="P108">
        <v>0</v>
      </c>
      <c r="Q108">
        <v>1484.990003862267</v>
      </c>
      <c r="R108">
        <v>4475.8830453069477</v>
      </c>
    </row>
    <row r="109" spans="15:18" x14ac:dyDescent="0.25">
      <c r="O109" t="s">
        <v>121</v>
      </c>
      <c r="P109">
        <v>0</v>
      </c>
      <c r="Q109">
        <v>14.36912386878836</v>
      </c>
      <c r="R109">
        <v>42.474625194695093</v>
      </c>
    </row>
    <row r="110" spans="15:18" x14ac:dyDescent="0.25">
      <c r="O110" t="s">
        <v>122</v>
      </c>
      <c r="P110">
        <v>0</v>
      </c>
      <c r="Q110">
        <v>1003814.17853601</v>
      </c>
      <c r="R110">
        <v>2485815.758074197</v>
      </c>
    </row>
    <row r="111" spans="15:18" x14ac:dyDescent="0.25">
      <c r="O111" t="s">
        <v>124</v>
      </c>
      <c r="P111">
        <v>0</v>
      </c>
      <c r="Q111">
        <v>1005430.485605841</v>
      </c>
      <c r="R111">
        <v>2489240.7884825701</v>
      </c>
    </row>
    <row r="112" spans="15:18" x14ac:dyDescent="0.25">
      <c r="O112" t="s">
        <v>125</v>
      </c>
      <c r="P112">
        <v>0</v>
      </c>
      <c r="Q112">
        <v>1053605.9585371159</v>
      </c>
      <c r="R112">
        <v>2634217.6759108691</v>
      </c>
    </row>
    <row r="113" spans="15:18" x14ac:dyDescent="0.25">
      <c r="O113" t="s">
        <v>179</v>
      </c>
    </row>
    <row r="114" spans="15:18" x14ac:dyDescent="0.25">
      <c r="O114" t="s">
        <v>102</v>
      </c>
      <c r="P114">
        <v>0</v>
      </c>
      <c r="Q114">
        <v>0</v>
      </c>
      <c r="R114">
        <v>0</v>
      </c>
    </row>
    <row r="115" spans="15:18" x14ac:dyDescent="0.25">
      <c r="O115" t="s">
        <v>105</v>
      </c>
      <c r="P115">
        <v>0</v>
      </c>
      <c r="Q115">
        <v>0</v>
      </c>
      <c r="R115">
        <v>0</v>
      </c>
    </row>
    <row r="116" spans="15:18" x14ac:dyDescent="0.25">
      <c r="O116" t="s">
        <v>128</v>
      </c>
      <c r="P116">
        <v>0</v>
      </c>
      <c r="Q116">
        <v>0</v>
      </c>
      <c r="R116">
        <v>0</v>
      </c>
    </row>
    <row r="117" spans="15:18" x14ac:dyDescent="0.25">
      <c r="O117" t="s">
        <v>109</v>
      </c>
      <c r="P117">
        <v>0</v>
      </c>
      <c r="Q117">
        <v>0</v>
      </c>
      <c r="R117">
        <v>0</v>
      </c>
    </row>
    <row r="118" spans="15:18" x14ac:dyDescent="0.25">
      <c r="O118" t="s">
        <v>111</v>
      </c>
      <c r="P118">
        <v>0</v>
      </c>
      <c r="Q118">
        <v>0</v>
      </c>
      <c r="R118">
        <v>0</v>
      </c>
    </row>
    <row r="119" spans="15:18" x14ac:dyDescent="0.25">
      <c r="O119" t="s">
        <v>113</v>
      </c>
      <c r="P119">
        <v>0</v>
      </c>
      <c r="Q119">
        <v>0</v>
      </c>
      <c r="R119">
        <v>0</v>
      </c>
    </row>
    <row r="120" spans="15:18" x14ac:dyDescent="0.25">
      <c r="O120" t="s">
        <v>115</v>
      </c>
      <c r="P120">
        <v>0</v>
      </c>
      <c r="Q120">
        <v>0</v>
      </c>
      <c r="R120">
        <v>0</v>
      </c>
    </row>
    <row r="121" spans="15:18" x14ac:dyDescent="0.25">
      <c r="O121" t="s">
        <v>117</v>
      </c>
      <c r="P121">
        <v>0</v>
      </c>
      <c r="Q121">
        <v>0</v>
      </c>
      <c r="R121">
        <v>0</v>
      </c>
    </row>
    <row r="123" spans="15:18" x14ac:dyDescent="0.25">
      <c r="Q123">
        <f>Q112/2000*2.205/1000</f>
        <v>1.1616005692871703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selection activeCell="G29" sqref="G29"/>
    </sheetView>
  </sheetViews>
  <sheetFormatPr defaultRowHeight="15" x14ac:dyDescent="0.25"/>
  <cols>
    <col min="1" max="1" width="40" customWidth="1"/>
    <col min="2" max="3" width="12" customWidth="1"/>
    <col min="4" max="4" width="3" customWidth="1"/>
    <col min="5" max="5" width="24" customWidth="1"/>
    <col min="6" max="6" width="14" customWidth="1"/>
    <col min="7" max="7" width="12" customWidth="1"/>
    <col min="9" max="13" width="15" customWidth="1"/>
    <col min="14" max="14" width="42" customWidth="1"/>
  </cols>
  <sheetData>
    <row r="1" spans="1:14" x14ac:dyDescent="0.25">
      <c r="A1" s="7" t="s">
        <v>16</v>
      </c>
    </row>
    <row r="2" spans="1:14" x14ac:dyDescent="0.25">
      <c r="A2" s="7" t="s">
        <v>17</v>
      </c>
      <c r="E2" s="7" t="s">
        <v>18</v>
      </c>
    </row>
    <row r="3" spans="1:14" x14ac:dyDescent="0.25">
      <c r="A3" s="8" t="s">
        <v>19</v>
      </c>
      <c r="B3" s="8" t="s">
        <v>20</v>
      </c>
      <c r="C3" s="8" t="s">
        <v>21</v>
      </c>
      <c r="E3" s="8" t="s">
        <v>22</v>
      </c>
      <c r="F3" s="8" t="s">
        <v>21</v>
      </c>
      <c r="I3" s="7" t="s">
        <v>25</v>
      </c>
    </row>
    <row r="4" spans="1:14" ht="30" customHeight="1" x14ac:dyDescent="0.25">
      <c r="A4" t="s">
        <v>26</v>
      </c>
      <c r="B4">
        <v>368.78739999999999</v>
      </c>
      <c r="C4">
        <v>167.2792</v>
      </c>
      <c r="E4" t="s">
        <v>27</v>
      </c>
      <c r="F4">
        <v>75.848600000000005</v>
      </c>
      <c r="I4" s="9" t="s">
        <v>180</v>
      </c>
      <c r="J4" s="9" t="s">
        <v>181</v>
      </c>
      <c r="K4" s="9" t="s">
        <v>182</v>
      </c>
      <c r="L4" s="9" t="s">
        <v>183</v>
      </c>
      <c r="M4" s="9" t="s">
        <v>184</v>
      </c>
      <c r="N4" s="8" t="s">
        <v>30</v>
      </c>
    </row>
    <row r="5" spans="1:14" x14ac:dyDescent="0.25">
      <c r="A5" t="s">
        <v>31</v>
      </c>
      <c r="B5">
        <v>189.53989999999999</v>
      </c>
      <c r="C5">
        <v>85.973799999999997</v>
      </c>
      <c r="E5" t="s">
        <v>32</v>
      </c>
      <c r="F5">
        <v>61.357900000000001</v>
      </c>
      <c r="I5" t="s">
        <v>9</v>
      </c>
      <c r="J5">
        <v>75.848577339465237</v>
      </c>
      <c r="K5">
        <v>63.48525923313241</v>
      </c>
      <c r="L5">
        <v>3.3</v>
      </c>
      <c r="M5">
        <v>1.117477786</v>
      </c>
      <c r="N5" t="s">
        <v>185</v>
      </c>
    </row>
    <row r="6" spans="1:14" x14ac:dyDescent="0.25">
      <c r="A6" t="s">
        <v>36</v>
      </c>
      <c r="B6">
        <v>11.4954</v>
      </c>
      <c r="C6">
        <v>5.2141999999999999</v>
      </c>
      <c r="E6" t="s">
        <v>186</v>
      </c>
      <c r="F6">
        <v>59.216200000000001</v>
      </c>
      <c r="I6" t="s">
        <v>8</v>
      </c>
      <c r="J6">
        <v>61.357921876529844</v>
      </c>
      <c r="K6">
        <v>53.013244501321779</v>
      </c>
      <c r="L6">
        <v>8.8000000000000007</v>
      </c>
      <c r="M6">
        <v>7.11</v>
      </c>
      <c r="N6" t="s">
        <v>185</v>
      </c>
    </row>
    <row r="7" spans="1:14" x14ac:dyDescent="0.25">
      <c r="A7" t="s">
        <v>40</v>
      </c>
      <c r="B7">
        <v>135.27109999999999</v>
      </c>
      <c r="C7">
        <v>61.357900000000001</v>
      </c>
      <c r="E7" t="s">
        <v>187</v>
      </c>
      <c r="F7">
        <v>7.36</v>
      </c>
      <c r="I7" t="s">
        <v>188</v>
      </c>
      <c r="J7">
        <v>59.216234833337502</v>
      </c>
      <c r="K7">
        <v>0</v>
      </c>
      <c r="L7">
        <v>1</v>
      </c>
      <c r="M7">
        <v>0.3</v>
      </c>
      <c r="N7" t="s">
        <v>189</v>
      </c>
    </row>
    <row r="8" spans="1:14" x14ac:dyDescent="0.25">
      <c r="A8" t="s">
        <v>42</v>
      </c>
      <c r="B8">
        <v>167.2175</v>
      </c>
      <c r="C8">
        <v>75.848600000000005</v>
      </c>
      <c r="E8" t="s">
        <v>190</v>
      </c>
      <c r="F8">
        <v>32.843600000000002</v>
      </c>
      <c r="I8" t="s">
        <v>191</v>
      </c>
      <c r="J8">
        <v>7.3600122836099144</v>
      </c>
      <c r="K8">
        <v>5.9616099497240302</v>
      </c>
      <c r="L8">
        <v>30</v>
      </c>
      <c r="M8">
        <v>8.3699999999999992</v>
      </c>
      <c r="N8" t="s">
        <v>185</v>
      </c>
    </row>
    <row r="9" spans="1:14" x14ac:dyDescent="0.25">
      <c r="A9" t="s">
        <v>45</v>
      </c>
      <c r="B9">
        <v>16.9757</v>
      </c>
      <c r="C9">
        <v>7.7000999999999999</v>
      </c>
      <c r="E9" t="s">
        <v>192</v>
      </c>
      <c r="F9">
        <v>118.593</v>
      </c>
      <c r="I9" t="s">
        <v>193</v>
      </c>
      <c r="J9">
        <v>32.843617413928357</v>
      </c>
      <c r="K9">
        <v>0</v>
      </c>
      <c r="L9">
        <v>2.5</v>
      </c>
      <c r="M9">
        <v>1</v>
      </c>
      <c r="N9" t="s">
        <v>189</v>
      </c>
    </row>
    <row r="10" spans="1:14" x14ac:dyDescent="0.25">
      <c r="A10" t="s">
        <v>49</v>
      </c>
      <c r="B10">
        <v>47.050800000000002</v>
      </c>
      <c r="C10">
        <v>21.341899999999999</v>
      </c>
      <c r="E10" t="s">
        <v>194</v>
      </c>
      <c r="F10">
        <v>85.973799999999997</v>
      </c>
      <c r="I10" t="s">
        <v>10</v>
      </c>
      <c r="J10">
        <v>118.5929794372454</v>
      </c>
      <c r="K10">
        <v>101.3969974188448</v>
      </c>
      <c r="L10">
        <v>1</v>
      </c>
      <c r="M10">
        <v>0.33</v>
      </c>
      <c r="N10" t="s">
        <v>185</v>
      </c>
    </row>
    <row r="11" spans="1:14" x14ac:dyDescent="0.25">
      <c r="A11" t="s">
        <v>53</v>
      </c>
      <c r="B11">
        <v>47.050800000000002</v>
      </c>
      <c r="C11">
        <v>21.341899999999999</v>
      </c>
    </row>
    <row r="12" spans="1:14" x14ac:dyDescent="0.25">
      <c r="A12" t="s">
        <v>58</v>
      </c>
      <c r="B12">
        <v>1.0692999999999999</v>
      </c>
      <c r="C12">
        <v>0.48499999999999999</v>
      </c>
      <c r="E12" s="7" t="s">
        <v>50</v>
      </c>
    </row>
    <row r="13" spans="1:14" x14ac:dyDescent="0.25">
      <c r="A13" t="s">
        <v>60</v>
      </c>
      <c r="B13">
        <v>14.035</v>
      </c>
      <c r="C13">
        <v>6.3662000000000001</v>
      </c>
      <c r="E13" s="8" t="s">
        <v>54</v>
      </c>
      <c r="F13" s="8" t="s">
        <v>55</v>
      </c>
      <c r="G13" s="8" t="s">
        <v>56</v>
      </c>
    </row>
    <row r="14" spans="1:14" x14ac:dyDescent="0.25">
      <c r="A14" t="s">
        <v>62</v>
      </c>
      <c r="B14">
        <v>11.0944</v>
      </c>
      <c r="C14">
        <v>5.0323000000000002</v>
      </c>
      <c r="E14" t="s">
        <v>59</v>
      </c>
      <c r="F14">
        <v>4.3999999999999997E-2</v>
      </c>
      <c r="G14">
        <v>4.4000000000000004</v>
      </c>
    </row>
    <row r="15" spans="1:14" x14ac:dyDescent="0.25">
      <c r="A15" t="s">
        <v>64</v>
      </c>
      <c r="B15">
        <v>2.4060000000000001</v>
      </c>
      <c r="C15">
        <v>1.0912999999999999</v>
      </c>
      <c r="E15" t="s">
        <v>61</v>
      </c>
      <c r="F15">
        <v>0.35399999999999998</v>
      </c>
      <c r="G15">
        <v>35.4</v>
      </c>
    </row>
    <row r="16" spans="1:14" x14ac:dyDescent="0.25">
      <c r="A16" t="s">
        <v>67</v>
      </c>
      <c r="B16">
        <v>183.5249</v>
      </c>
      <c r="C16">
        <v>83.245500000000007</v>
      </c>
      <c r="E16" t="s">
        <v>63</v>
      </c>
      <c r="F16">
        <v>0.19633999999999999</v>
      </c>
      <c r="G16">
        <v>19.63</v>
      </c>
    </row>
    <row r="17" spans="1:7" x14ac:dyDescent="0.25">
      <c r="A17" t="s">
        <v>80</v>
      </c>
      <c r="B17">
        <v>77.927899999999994</v>
      </c>
      <c r="C17">
        <v>35.347499999999997</v>
      </c>
      <c r="E17" t="s">
        <v>65</v>
      </c>
      <c r="F17">
        <v>0.40566000000000002</v>
      </c>
      <c r="G17">
        <v>40.57</v>
      </c>
    </row>
    <row r="18" spans="1:7" x14ac:dyDescent="0.25">
      <c r="A18" t="s">
        <v>84</v>
      </c>
      <c r="B18">
        <v>0.40100000000000002</v>
      </c>
      <c r="C18">
        <v>0.18190000000000001</v>
      </c>
      <c r="E18" t="s">
        <v>68</v>
      </c>
      <c r="F18">
        <v>157.76</v>
      </c>
    </row>
    <row r="19" spans="1:7" x14ac:dyDescent="0.25">
      <c r="A19" t="s">
        <v>86</v>
      </c>
      <c r="B19">
        <v>4.1436999999999999</v>
      </c>
      <c r="C19">
        <v>1.8794999999999999</v>
      </c>
    </row>
    <row r="20" spans="1:7" x14ac:dyDescent="0.25">
      <c r="A20" t="s">
        <v>89</v>
      </c>
      <c r="B20">
        <v>49.7241</v>
      </c>
      <c r="C20">
        <v>22.554500000000001</v>
      </c>
    </row>
    <row r="21" spans="1:7" x14ac:dyDescent="0.25">
      <c r="A21" t="s">
        <v>91</v>
      </c>
      <c r="B21">
        <v>8.9557000000000002</v>
      </c>
      <c r="C21">
        <v>4.0621999999999998</v>
      </c>
    </row>
    <row r="22" spans="1:7" x14ac:dyDescent="0.25">
      <c r="A22" s="7" t="s">
        <v>93</v>
      </c>
      <c r="B22" s="7">
        <v>1336.67</v>
      </c>
      <c r="C22" s="7">
        <v>606.29999999999995</v>
      </c>
    </row>
    <row r="26" spans="1:7" x14ac:dyDescent="0.25">
      <c r="A26" s="7" t="s">
        <v>103</v>
      </c>
    </row>
    <row r="27" spans="1:7" x14ac:dyDescent="0.25">
      <c r="A27" s="10" t="s">
        <v>106</v>
      </c>
    </row>
    <row r="28" spans="1:7" x14ac:dyDescent="0.25">
      <c r="A28" s="10" t="s">
        <v>108</v>
      </c>
    </row>
    <row r="29" spans="1:7" x14ac:dyDescent="0.25">
      <c r="A29" s="10" t="s">
        <v>110</v>
      </c>
    </row>
    <row r="30" spans="1:7" x14ac:dyDescent="0.25">
      <c r="A30" s="10" t="s">
        <v>112</v>
      </c>
    </row>
    <row r="31" spans="1:7" x14ac:dyDescent="0.25">
      <c r="A31" s="10" t="s">
        <v>114</v>
      </c>
    </row>
    <row r="32" spans="1:7" x14ac:dyDescent="0.25">
      <c r="A32" s="10" t="s">
        <v>116</v>
      </c>
    </row>
    <row r="33" spans="1:1" x14ac:dyDescent="0.25">
      <c r="A33" s="10" t="s">
        <v>118</v>
      </c>
    </row>
    <row r="34" spans="1:1" x14ac:dyDescent="0.25">
      <c r="A34" s="10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4"/>
  <sheetViews>
    <sheetView topLeftCell="J1" workbookViewId="0">
      <selection activeCell="L14" sqref="L14"/>
    </sheetView>
  </sheetViews>
  <sheetFormatPr defaultRowHeight="15" x14ac:dyDescent="0.25"/>
  <cols>
    <col min="1" max="1" width="40" customWidth="1"/>
    <col min="2" max="3" width="12" customWidth="1"/>
    <col min="4" max="4" width="3" customWidth="1"/>
    <col min="5" max="5" width="24" customWidth="1"/>
    <col min="6" max="6" width="14" customWidth="1"/>
    <col min="7" max="7" width="12" customWidth="1"/>
    <col min="9" max="21" width="15" customWidth="1"/>
    <col min="22" max="22" width="42" customWidth="1"/>
  </cols>
  <sheetData>
    <row r="1" spans="1:22" x14ac:dyDescent="0.25">
      <c r="A1" s="7" t="s">
        <v>16</v>
      </c>
    </row>
    <row r="2" spans="1:22" x14ac:dyDescent="0.25">
      <c r="A2" s="7" t="s">
        <v>17</v>
      </c>
      <c r="E2" s="7" t="s">
        <v>18</v>
      </c>
    </row>
    <row r="3" spans="1:22" x14ac:dyDescent="0.25">
      <c r="A3" s="8" t="s">
        <v>19</v>
      </c>
      <c r="B3" s="8" t="s">
        <v>20</v>
      </c>
      <c r="C3" s="8" t="s">
        <v>21</v>
      </c>
      <c r="E3" s="8" t="s">
        <v>22</v>
      </c>
      <c r="F3" s="8" t="s">
        <v>21</v>
      </c>
      <c r="I3" s="7" t="s">
        <v>25</v>
      </c>
    </row>
    <row r="4" spans="1:22" x14ac:dyDescent="0.25">
      <c r="A4" t="s">
        <v>26</v>
      </c>
      <c r="B4">
        <v>368.78739999999999</v>
      </c>
      <c r="C4">
        <v>167.2792</v>
      </c>
      <c r="E4" t="s">
        <v>27</v>
      </c>
      <c r="F4">
        <v>75.848600000000005</v>
      </c>
      <c r="I4" s="9" t="s">
        <v>2</v>
      </c>
      <c r="J4" s="9" t="s">
        <v>195</v>
      </c>
      <c r="K4" s="9" t="s">
        <v>196</v>
      </c>
      <c r="L4" s="9" t="s">
        <v>197</v>
      </c>
      <c r="M4" s="9" t="s">
        <v>198</v>
      </c>
      <c r="N4" s="9" t="s">
        <v>199</v>
      </c>
      <c r="O4" s="9" t="s">
        <v>200</v>
      </c>
      <c r="P4" s="9" t="s">
        <v>201</v>
      </c>
      <c r="Q4" s="9" t="s">
        <v>202</v>
      </c>
      <c r="R4" s="9" t="s">
        <v>203</v>
      </c>
      <c r="S4" s="9" t="s">
        <v>204</v>
      </c>
      <c r="T4" s="9" t="s">
        <v>205</v>
      </c>
      <c r="U4" s="9" t="s">
        <v>206</v>
      </c>
      <c r="V4" s="8" t="s">
        <v>30</v>
      </c>
    </row>
    <row r="5" spans="1:22" x14ac:dyDescent="0.25">
      <c r="A5" t="s">
        <v>31</v>
      </c>
      <c r="B5">
        <v>189.53989999999999</v>
      </c>
      <c r="C5">
        <v>85.973799999999997</v>
      </c>
      <c r="E5" t="s">
        <v>32</v>
      </c>
      <c r="F5">
        <v>61.357900000000001</v>
      </c>
      <c r="I5" t="s">
        <v>207</v>
      </c>
      <c r="J5">
        <v>606.30357585503793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208</v>
      </c>
    </row>
    <row r="6" spans="1:22" x14ac:dyDescent="0.25">
      <c r="A6" t="s">
        <v>36</v>
      </c>
      <c r="B6">
        <v>11.4954</v>
      </c>
      <c r="C6">
        <v>5.2141999999999999</v>
      </c>
      <c r="E6" t="s">
        <v>186</v>
      </c>
      <c r="F6">
        <v>59.216200000000001</v>
      </c>
      <c r="I6" t="s">
        <v>10</v>
      </c>
      <c r="J6">
        <v>118.5929794372454</v>
      </c>
      <c r="K6">
        <v>0</v>
      </c>
      <c r="L6">
        <v>0.95</v>
      </c>
      <c r="M6">
        <v>0</v>
      </c>
      <c r="N6">
        <v>0.9</v>
      </c>
      <c r="O6">
        <v>0.81499999999999995</v>
      </c>
      <c r="P6">
        <v>0.85</v>
      </c>
      <c r="Q6">
        <v>0.5</v>
      </c>
      <c r="R6">
        <v>0.5</v>
      </c>
      <c r="S6">
        <v>0.99</v>
      </c>
      <c r="T6">
        <v>0.95</v>
      </c>
      <c r="U6">
        <v>1</v>
      </c>
      <c r="V6" t="s">
        <v>209</v>
      </c>
    </row>
    <row r="7" spans="1:22" x14ac:dyDescent="0.25">
      <c r="A7" t="s">
        <v>40</v>
      </c>
      <c r="B7">
        <v>135.27109999999999</v>
      </c>
      <c r="C7">
        <v>61.357900000000001</v>
      </c>
      <c r="E7" t="s">
        <v>187</v>
      </c>
      <c r="F7">
        <v>7.36</v>
      </c>
      <c r="I7" t="s">
        <v>9</v>
      </c>
      <c r="J7">
        <v>75.848577339465237</v>
      </c>
      <c r="K7">
        <v>0</v>
      </c>
      <c r="L7">
        <v>0.93</v>
      </c>
      <c r="M7">
        <v>0</v>
      </c>
      <c r="N7">
        <v>0.9</v>
      </c>
      <c r="O7">
        <v>0.85</v>
      </c>
      <c r="P7">
        <v>1</v>
      </c>
      <c r="Q7">
        <v>0.9</v>
      </c>
      <c r="R7">
        <v>0.9</v>
      </c>
      <c r="S7">
        <v>0.99</v>
      </c>
      <c r="T7">
        <v>0.93</v>
      </c>
      <c r="U7">
        <v>1</v>
      </c>
      <c r="V7" t="s">
        <v>209</v>
      </c>
    </row>
    <row r="8" spans="1:22" x14ac:dyDescent="0.25">
      <c r="A8" t="s">
        <v>42</v>
      </c>
      <c r="B8">
        <v>167.2175</v>
      </c>
      <c r="C8">
        <v>75.848600000000005</v>
      </c>
      <c r="E8" t="s">
        <v>190</v>
      </c>
      <c r="F8">
        <v>32.843600000000002</v>
      </c>
      <c r="I8" t="s">
        <v>8</v>
      </c>
      <c r="J8">
        <v>61.357921876529844</v>
      </c>
      <c r="K8">
        <v>0</v>
      </c>
      <c r="L8">
        <v>0.96</v>
      </c>
      <c r="M8">
        <v>0</v>
      </c>
      <c r="N8">
        <v>0.9</v>
      </c>
      <c r="O8">
        <v>0.96</v>
      </c>
      <c r="P8">
        <v>0.98</v>
      </c>
      <c r="Q8">
        <v>0.5</v>
      </c>
      <c r="R8">
        <v>0.5</v>
      </c>
      <c r="S8">
        <v>0.99</v>
      </c>
      <c r="T8">
        <v>0.96</v>
      </c>
      <c r="U8">
        <v>1</v>
      </c>
      <c r="V8" t="s">
        <v>209</v>
      </c>
    </row>
    <row r="9" spans="1:22" x14ac:dyDescent="0.25">
      <c r="A9" t="s">
        <v>45</v>
      </c>
      <c r="B9">
        <v>16.9757</v>
      </c>
      <c r="C9">
        <v>7.7000999999999999</v>
      </c>
      <c r="E9" t="s">
        <v>192</v>
      </c>
      <c r="F9">
        <v>118.593</v>
      </c>
      <c r="I9" t="s">
        <v>191</v>
      </c>
      <c r="J9">
        <v>7.3600122836099144</v>
      </c>
      <c r="K9">
        <v>0</v>
      </c>
      <c r="L9">
        <v>0.91</v>
      </c>
      <c r="M9">
        <v>0</v>
      </c>
      <c r="N9">
        <v>0.9</v>
      </c>
      <c r="O9">
        <v>1</v>
      </c>
      <c r="P9">
        <v>0.62</v>
      </c>
      <c r="Q9">
        <v>0.5</v>
      </c>
      <c r="R9">
        <v>0.5</v>
      </c>
      <c r="S9">
        <v>0.99</v>
      </c>
      <c r="T9">
        <v>0.91</v>
      </c>
      <c r="U9">
        <v>1</v>
      </c>
      <c r="V9" t="s">
        <v>209</v>
      </c>
    </row>
    <row r="10" spans="1:22" x14ac:dyDescent="0.25">
      <c r="A10" t="s">
        <v>49</v>
      </c>
      <c r="B10">
        <v>47.050800000000002</v>
      </c>
      <c r="C10">
        <v>21.341899999999999</v>
      </c>
      <c r="E10" t="s">
        <v>194</v>
      </c>
      <c r="F10">
        <v>85.973799999999997</v>
      </c>
      <c r="I10" t="s">
        <v>188</v>
      </c>
      <c r="J10">
        <v>59.216234833337502</v>
      </c>
      <c r="K10">
        <v>0</v>
      </c>
      <c r="L10">
        <v>0</v>
      </c>
      <c r="M10">
        <v>0</v>
      </c>
      <c r="N10">
        <v>0.9</v>
      </c>
      <c r="O10">
        <v>1</v>
      </c>
      <c r="P10">
        <v>0.9</v>
      </c>
      <c r="Q10">
        <v>0.5</v>
      </c>
      <c r="R10">
        <v>0.5</v>
      </c>
      <c r="S10">
        <v>0.99</v>
      </c>
      <c r="T10">
        <v>0.9</v>
      </c>
      <c r="U10">
        <v>1</v>
      </c>
      <c r="V10" t="s">
        <v>209</v>
      </c>
    </row>
    <row r="11" spans="1:22" x14ac:dyDescent="0.25">
      <c r="A11" t="s">
        <v>53</v>
      </c>
      <c r="B11">
        <v>47.050800000000002</v>
      </c>
      <c r="C11">
        <v>21.341899999999999</v>
      </c>
      <c r="I11" t="s">
        <v>193</v>
      </c>
      <c r="J11">
        <v>32.843617413928357</v>
      </c>
      <c r="K11">
        <v>0</v>
      </c>
      <c r="L11">
        <v>0</v>
      </c>
      <c r="M11">
        <v>0</v>
      </c>
      <c r="N11">
        <v>0.9</v>
      </c>
      <c r="O11">
        <v>1</v>
      </c>
      <c r="P11">
        <v>0.9</v>
      </c>
      <c r="Q11">
        <v>0.5</v>
      </c>
      <c r="R11">
        <v>0.5</v>
      </c>
      <c r="S11">
        <v>0.99</v>
      </c>
      <c r="T11">
        <v>0.9</v>
      </c>
      <c r="U11">
        <v>1</v>
      </c>
      <c r="V11" t="s">
        <v>209</v>
      </c>
    </row>
    <row r="12" spans="1:22" x14ac:dyDescent="0.25">
      <c r="A12" t="s">
        <v>58</v>
      </c>
      <c r="B12">
        <v>1.0692999999999999</v>
      </c>
      <c r="C12">
        <v>0.48499999999999999</v>
      </c>
      <c r="E12" s="7" t="s">
        <v>50</v>
      </c>
    </row>
    <row r="13" spans="1:22" x14ac:dyDescent="0.25">
      <c r="A13" t="s">
        <v>60</v>
      </c>
      <c r="B13">
        <v>14.035</v>
      </c>
      <c r="C13">
        <v>6.3662000000000001</v>
      </c>
      <c r="E13" s="8" t="s">
        <v>54</v>
      </c>
      <c r="F13" s="8" t="s">
        <v>55</v>
      </c>
      <c r="G13" s="8" t="s">
        <v>56</v>
      </c>
    </row>
    <row r="14" spans="1:22" x14ac:dyDescent="0.25">
      <c r="A14" t="s">
        <v>62</v>
      </c>
      <c r="B14">
        <v>11.0944</v>
      </c>
      <c r="C14">
        <v>5.0323000000000002</v>
      </c>
      <c r="E14" t="s">
        <v>59</v>
      </c>
      <c r="F14">
        <v>4.3999999999999997E-2</v>
      </c>
      <c r="G14">
        <v>4.4000000000000004</v>
      </c>
    </row>
    <row r="15" spans="1:22" x14ac:dyDescent="0.25">
      <c r="A15" t="s">
        <v>64</v>
      </c>
      <c r="B15">
        <v>2.4060000000000001</v>
      </c>
      <c r="C15">
        <v>1.0912999999999999</v>
      </c>
      <c r="E15" t="s">
        <v>61</v>
      </c>
      <c r="F15">
        <v>0.35399999999999998</v>
      </c>
      <c r="G15">
        <v>35.4</v>
      </c>
    </row>
    <row r="16" spans="1:22" x14ac:dyDescent="0.25">
      <c r="A16" t="s">
        <v>67</v>
      </c>
      <c r="B16">
        <v>183.5249</v>
      </c>
      <c r="C16">
        <v>83.245500000000007</v>
      </c>
      <c r="E16" t="s">
        <v>63</v>
      </c>
      <c r="F16">
        <v>0.19633999999999999</v>
      </c>
      <c r="G16">
        <v>19.63</v>
      </c>
    </row>
    <row r="17" spans="1:7" x14ac:dyDescent="0.25">
      <c r="A17" t="s">
        <v>80</v>
      </c>
      <c r="B17">
        <v>77.927899999999994</v>
      </c>
      <c r="C17">
        <v>35.347499999999997</v>
      </c>
      <c r="E17" t="s">
        <v>65</v>
      </c>
      <c r="F17">
        <v>0.40566000000000002</v>
      </c>
      <c r="G17">
        <v>40.57</v>
      </c>
    </row>
    <row r="18" spans="1:7" x14ac:dyDescent="0.25">
      <c r="A18" t="s">
        <v>84</v>
      </c>
      <c r="B18">
        <v>0.40100000000000002</v>
      </c>
      <c r="C18">
        <v>0.18190000000000001</v>
      </c>
      <c r="E18" t="s">
        <v>68</v>
      </c>
      <c r="F18">
        <v>157.76</v>
      </c>
    </row>
    <row r="19" spans="1:7" x14ac:dyDescent="0.25">
      <c r="A19" t="s">
        <v>86</v>
      </c>
      <c r="B19">
        <v>4.1436999999999999</v>
      </c>
      <c r="C19">
        <v>1.8794999999999999</v>
      </c>
    </row>
    <row r="20" spans="1:7" x14ac:dyDescent="0.25">
      <c r="A20" t="s">
        <v>89</v>
      </c>
      <c r="B20">
        <v>49.7241</v>
      </c>
      <c r="C20">
        <v>22.554500000000001</v>
      </c>
    </row>
    <row r="21" spans="1:7" x14ac:dyDescent="0.25">
      <c r="A21" t="s">
        <v>91</v>
      </c>
      <c r="B21">
        <v>8.9557000000000002</v>
      </c>
      <c r="C21">
        <v>4.0621999999999998</v>
      </c>
    </row>
    <row r="22" spans="1:7" x14ac:dyDescent="0.25">
      <c r="A22" s="7" t="s">
        <v>93</v>
      </c>
      <c r="B22" s="7">
        <v>1336.67</v>
      </c>
      <c r="C22" s="7">
        <v>606.29999999999995</v>
      </c>
    </row>
    <row r="26" spans="1:7" x14ac:dyDescent="0.25">
      <c r="A26" s="7" t="s">
        <v>103</v>
      </c>
    </row>
    <row r="27" spans="1:7" x14ac:dyDescent="0.25">
      <c r="A27" s="10" t="s">
        <v>106</v>
      </c>
    </row>
    <row r="28" spans="1:7" x14ac:dyDescent="0.25">
      <c r="A28" s="10" t="s">
        <v>108</v>
      </c>
    </row>
    <row r="29" spans="1:7" x14ac:dyDescent="0.25">
      <c r="A29" s="10" t="s">
        <v>110</v>
      </c>
    </row>
    <row r="30" spans="1:7" x14ac:dyDescent="0.25">
      <c r="A30" s="10" t="s">
        <v>112</v>
      </c>
    </row>
    <row r="31" spans="1:7" x14ac:dyDescent="0.25">
      <c r="A31" s="10" t="s">
        <v>114</v>
      </c>
    </row>
    <row r="32" spans="1:7" x14ac:dyDescent="0.25">
      <c r="A32" s="10" t="s">
        <v>116</v>
      </c>
    </row>
    <row r="33" spans="1:1" x14ac:dyDescent="0.25">
      <c r="A33" s="10" t="s">
        <v>118</v>
      </c>
    </row>
    <row r="34" spans="1:1" x14ac:dyDescent="0.25">
      <c r="A34" s="10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6"/>
  <sheetViews>
    <sheetView topLeftCell="B1" zoomScale="64" workbookViewId="0">
      <selection activeCell="Y19" sqref="Y19"/>
    </sheetView>
  </sheetViews>
  <sheetFormatPr defaultRowHeight="15" x14ac:dyDescent="0.25"/>
  <cols>
    <col min="1" max="1" width="40" customWidth="1"/>
    <col min="2" max="3" width="12" customWidth="1"/>
    <col min="4" max="4" width="3" customWidth="1"/>
    <col min="5" max="5" width="24" customWidth="1"/>
    <col min="6" max="6" width="14" customWidth="1"/>
    <col min="7" max="7" width="12" customWidth="1"/>
    <col min="9" max="14" width="15" customWidth="1"/>
    <col min="15" max="15" width="42" customWidth="1"/>
  </cols>
  <sheetData>
    <row r="1" spans="1:15" x14ac:dyDescent="0.25">
      <c r="A1" s="7" t="s">
        <v>16</v>
      </c>
    </row>
    <row r="2" spans="1:15" x14ac:dyDescent="0.25">
      <c r="A2" s="7" t="s">
        <v>17</v>
      </c>
      <c r="E2" s="7" t="s">
        <v>18</v>
      </c>
    </row>
    <row r="3" spans="1:15" x14ac:dyDescent="0.25">
      <c r="A3" s="8" t="s">
        <v>19</v>
      </c>
      <c r="B3" s="8" t="s">
        <v>20</v>
      </c>
      <c r="C3" s="8" t="s">
        <v>21</v>
      </c>
      <c r="E3" s="8" t="s">
        <v>22</v>
      </c>
      <c r="F3" s="8" t="s">
        <v>21</v>
      </c>
      <c r="I3" s="7" t="s">
        <v>25</v>
      </c>
    </row>
    <row r="4" spans="1:15" ht="30" customHeight="1" x14ac:dyDescent="0.25">
      <c r="A4" t="s">
        <v>26</v>
      </c>
      <c r="B4">
        <v>368.78739999999999</v>
      </c>
      <c r="C4">
        <v>167.2792</v>
      </c>
      <c r="E4" t="s">
        <v>27</v>
      </c>
      <c r="F4">
        <v>75.848600000000005</v>
      </c>
      <c r="I4" s="9" t="s">
        <v>2</v>
      </c>
      <c r="J4" s="9" t="s">
        <v>210</v>
      </c>
      <c r="K4" s="9" t="s">
        <v>211</v>
      </c>
      <c r="L4" s="9" t="s">
        <v>212</v>
      </c>
      <c r="M4" s="9" t="s">
        <v>213</v>
      </c>
      <c r="N4" s="9" t="s">
        <v>214</v>
      </c>
      <c r="O4" s="8" t="s">
        <v>30</v>
      </c>
    </row>
    <row r="5" spans="1:15" x14ac:dyDescent="0.25">
      <c r="A5" t="s">
        <v>31</v>
      </c>
      <c r="B5">
        <v>189.53989999999999</v>
      </c>
      <c r="C5">
        <v>85.973799999999997</v>
      </c>
      <c r="E5" t="s">
        <v>32</v>
      </c>
      <c r="F5">
        <v>61.357900000000001</v>
      </c>
      <c r="I5" t="s">
        <v>10</v>
      </c>
      <c r="J5">
        <v>118.5929794372454</v>
      </c>
      <c r="K5">
        <v>0.95</v>
      </c>
      <c r="L5">
        <v>4.2797000000000001</v>
      </c>
      <c r="M5">
        <v>1.3716999999999999</v>
      </c>
      <c r="O5" t="s">
        <v>215</v>
      </c>
    </row>
    <row r="6" spans="1:15" x14ac:dyDescent="0.25">
      <c r="A6" t="s">
        <v>36</v>
      </c>
      <c r="B6">
        <v>11.4954</v>
      </c>
      <c r="C6">
        <v>5.2141999999999999</v>
      </c>
      <c r="E6" t="s">
        <v>186</v>
      </c>
      <c r="F6">
        <v>59.216200000000001</v>
      </c>
      <c r="I6" t="s">
        <v>216</v>
      </c>
      <c r="J6">
        <v>59.284278073074297</v>
      </c>
      <c r="K6">
        <v>0.93</v>
      </c>
      <c r="L6">
        <v>27.4026</v>
      </c>
      <c r="M6">
        <v>4.8231999999999999</v>
      </c>
      <c r="O6" t="s">
        <v>215</v>
      </c>
    </row>
    <row r="7" spans="1:15" x14ac:dyDescent="0.25">
      <c r="A7" t="s">
        <v>40</v>
      </c>
      <c r="B7">
        <v>135.27109999999999</v>
      </c>
      <c r="C7">
        <v>61.357900000000001</v>
      </c>
      <c r="E7" t="s">
        <v>187</v>
      </c>
      <c r="F7">
        <v>7.36</v>
      </c>
      <c r="I7" t="s">
        <v>217</v>
      </c>
      <c r="J7">
        <v>377.57348767932109</v>
      </c>
      <c r="M7">
        <v>2.0439600000000002</v>
      </c>
      <c r="N7">
        <v>1609.9474</v>
      </c>
      <c r="O7" t="s">
        <v>218</v>
      </c>
    </row>
    <row r="8" spans="1:15" x14ac:dyDescent="0.25">
      <c r="A8" t="s">
        <v>42</v>
      </c>
      <c r="B8">
        <v>167.2175</v>
      </c>
      <c r="C8">
        <v>75.848600000000005</v>
      </c>
      <c r="E8" t="s">
        <v>190</v>
      </c>
      <c r="F8">
        <v>32.843600000000002</v>
      </c>
      <c r="I8" t="s">
        <v>219</v>
      </c>
      <c r="J8">
        <v>44.894399999999997</v>
      </c>
      <c r="K8">
        <v>0.9</v>
      </c>
      <c r="L8">
        <v>80.116699999999994</v>
      </c>
      <c r="N8">
        <v>289.47000000000003</v>
      </c>
      <c r="O8" t="s">
        <v>220</v>
      </c>
    </row>
    <row r="9" spans="1:15" x14ac:dyDescent="0.25">
      <c r="A9" t="s">
        <v>45</v>
      </c>
      <c r="B9">
        <v>16.9757</v>
      </c>
      <c r="C9">
        <v>7.7000999999999999</v>
      </c>
      <c r="E9" t="s">
        <v>192</v>
      </c>
      <c r="F9">
        <v>118.593</v>
      </c>
      <c r="I9" t="s">
        <v>221</v>
      </c>
      <c r="J9">
        <v>61.234200000000001</v>
      </c>
      <c r="K9">
        <v>0</v>
      </c>
      <c r="L9">
        <v>4.7074999999999996</v>
      </c>
      <c r="N9">
        <v>17.010000000000002</v>
      </c>
      <c r="O9" t="s">
        <v>220</v>
      </c>
    </row>
    <row r="10" spans="1:15" x14ac:dyDescent="0.25">
      <c r="A10" t="s">
        <v>49</v>
      </c>
      <c r="B10">
        <v>47.050800000000002</v>
      </c>
      <c r="C10">
        <v>21.341899999999999</v>
      </c>
      <c r="E10" t="s">
        <v>194</v>
      </c>
      <c r="F10">
        <v>85.973799999999997</v>
      </c>
      <c r="I10" t="s">
        <v>222</v>
      </c>
      <c r="J10">
        <v>94.922600000000003</v>
      </c>
      <c r="K10">
        <v>0</v>
      </c>
      <c r="L10">
        <v>0.5</v>
      </c>
      <c r="N10">
        <v>0</v>
      </c>
      <c r="O10" t="s">
        <v>220</v>
      </c>
    </row>
    <row r="11" spans="1:15" x14ac:dyDescent="0.25">
      <c r="A11" t="s">
        <v>53</v>
      </c>
      <c r="B11">
        <v>47.050800000000002</v>
      </c>
      <c r="C11">
        <v>21.341899999999999</v>
      </c>
      <c r="I11" t="s">
        <v>223</v>
      </c>
      <c r="J11">
        <v>16.564299999999999</v>
      </c>
      <c r="K11">
        <v>0.93</v>
      </c>
      <c r="L11">
        <v>27.4026</v>
      </c>
      <c r="N11">
        <v>358.691667</v>
      </c>
      <c r="O11" t="s">
        <v>224</v>
      </c>
    </row>
    <row r="12" spans="1:15" x14ac:dyDescent="0.25">
      <c r="A12" t="s">
        <v>58</v>
      </c>
      <c r="B12">
        <v>1.0692999999999999</v>
      </c>
      <c r="C12">
        <v>0.48499999999999999</v>
      </c>
      <c r="E12" s="7" t="s">
        <v>50</v>
      </c>
      <c r="I12" t="s">
        <v>225</v>
      </c>
      <c r="J12">
        <v>61.357900000000001</v>
      </c>
      <c r="K12">
        <v>0.96</v>
      </c>
      <c r="L12">
        <v>7.4124999999999996</v>
      </c>
      <c r="N12">
        <v>944.77499999999998</v>
      </c>
      <c r="O12" t="s">
        <v>224</v>
      </c>
    </row>
    <row r="13" spans="1:15" x14ac:dyDescent="0.25">
      <c r="A13" t="s">
        <v>60</v>
      </c>
      <c r="B13">
        <v>14.035</v>
      </c>
      <c r="C13">
        <v>6.3662000000000001</v>
      </c>
      <c r="E13" s="8" t="s">
        <v>54</v>
      </c>
      <c r="F13" s="8" t="s">
        <v>55</v>
      </c>
      <c r="G13" s="8" t="s">
        <v>56</v>
      </c>
    </row>
    <row r="14" spans="1:15" x14ac:dyDescent="0.25">
      <c r="A14" t="s">
        <v>62</v>
      </c>
      <c r="B14">
        <v>11.0944</v>
      </c>
      <c r="C14">
        <v>5.0323000000000002</v>
      </c>
      <c r="E14" t="s">
        <v>59</v>
      </c>
      <c r="F14">
        <v>4.3999999999999997E-2</v>
      </c>
      <c r="G14">
        <v>4.4000000000000004</v>
      </c>
    </row>
    <row r="15" spans="1:15" x14ac:dyDescent="0.25">
      <c r="A15" t="s">
        <v>64</v>
      </c>
      <c r="B15">
        <v>2.4060000000000001</v>
      </c>
      <c r="C15">
        <v>1.0912999999999999</v>
      </c>
      <c r="E15" t="s">
        <v>61</v>
      </c>
      <c r="F15">
        <v>0.35399999999999998</v>
      </c>
      <c r="G15">
        <v>35.4</v>
      </c>
    </row>
    <row r="16" spans="1:15" x14ac:dyDescent="0.25">
      <c r="A16" t="s">
        <v>67</v>
      </c>
      <c r="B16">
        <v>183.5249</v>
      </c>
      <c r="C16">
        <v>83.245500000000007</v>
      </c>
      <c r="E16" t="s">
        <v>63</v>
      </c>
      <c r="F16">
        <v>0.19633999999999999</v>
      </c>
      <c r="G16">
        <v>19.63</v>
      </c>
      <c r="I16" s="7" t="s">
        <v>226</v>
      </c>
    </row>
    <row r="17" spans="1:27" ht="45" customHeight="1" x14ac:dyDescent="0.25">
      <c r="A17" t="s">
        <v>80</v>
      </c>
      <c r="B17">
        <v>77.927899999999994</v>
      </c>
      <c r="C17">
        <v>35.347499999999997</v>
      </c>
      <c r="E17" t="s">
        <v>65</v>
      </c>
      <c r="F17">
        <v>0.40566000000000002</v>
      </c>
      <c r="G17">
        <v>40.57</v>
      </c>
      <c r="I17" s="11" t="s">
        <v>227</v>
      </c>
      <c r="J17" s="11" t="s">
        <v>228</v>
      </c>
      <c r="K17" s="11" t="s">
        <v>229</v>
      </c>
      <c r="L17" s="11" t="s">
        <v>230</v>
      </c>
      <c r="M17" s="11" t="s">
        <v>231</v>
      </c>
      <c r="N17" s="11" t="s">
        <v>232</v>
      </c>
      <c r="O17" s="11" t="s">
        <v>233</v>
      </c>
    </row>
    <row r="18" spans="1:27" x14ac:dyDescent="0.25">
      <c r="A18" t="s">
        <v>84</v>
      </c>
      <c r="B18">
        <v>0.40100000000000002</v>
      </c>
      <c r="C18">
        <v>0.18190000000000001</v>
      </c>
      <c r="E18" t="s">
        <v>68</v>
      </c>
      <c r="F18">
        <v>157.76</v>
      </c>
      <c r="I18" t="s">
        <v>234</v>
      </c>
      <c r="J18" t="s">
        <v>33</v>
      </c>
      <c r="K18">
        <v>44.894399999999997</v>
      </c>
      <c r="L18">
        <v>80.116699999999994</v>
      </c>
      <c r="M18">
        <v>2.0439600000000002</v>
      </c>
      <c r="N18">
        <v>289.47000000000003</v>
      </c>
      <c r="O18" t="s">
        <v>235</v>
      </c>
    </row>
    <row r="19" spans="1:27" x14ac:dyDescent="0.25">
      <c r="A19" t="s">
        <v>86</v>
      </c>
      <c r="B19">
        <v>4.1436999999999999</v>
      </c>
      <c r="C19">
        <v>1.8794999999999999</v>
      </c>
      <c r="I19" t="s">
        <v>234</v>
      </c>
      <c r="J19" t="s">
        <v>51</v>
      </c>
      <c r="K19">
        <v>61.234200000000001</v>
      </c>
      <c r="L19">
        <v>4.7074999999999996</v>
      </c>
      <c r="M19">
        <v>2.0439600000000002</v>
      </c>
      <c r="N19">
        <v>17.010000000000002</v>
      </c>
      <c r="O19" t="s">
        <v>235</v>
      </c>
    </row>
    <row r="20" spans="1:27" x14ac:dyDescent="0.25">
      <c r="A20" t="s">
        <v>89</v>
      </c>
      <c r="B20">
        <v>49.7241</v>
      </c>
      <c r="C20">
        <v>22.554500000000001</v>
      </c>
      <c r="I20" t="s">
        <v>234</v>
      </c>
      <c r="J20" t="s">
        <v>47</v>
      </c>
      <c r="K20">
        <v>94.922600000000003</v>
      </c>
      <c r="L20">
        <v>0.5</v>
      </c>
      <c r="M20">
        <v>2.0439600000000002</v>
      </c>
      <c r="N20">
        <v>0</v>
      </c>
      <c r="O20" t="s">
        <v>235</v>
      </c>
    </row>
    <row r="21" spans="1:27" x14ac:dyDescent="0.25">
      <c r="A21" t="s">
        <v>91</v>
      </c>
      <c r="B21">
        <v>8.9557000000000002</v>
      </c>
      <c r="C21">
        <v>4.0621999999999998</v>
      </c>
      <c r="I21" t="s">
        <v>234</v>
      </c>
      <c r="J21" t="s">
        <v>236</v>
      </c>
      <c r="K21">
        <v>16.564299999999999</v>
      </c>
      <c r="L21">
        <v>27.4026</v>
      </c>
      <c r="M21">
        <v>2.0439600000000002</v>
      </c>
      <c r="N21">
        <v>358.691667</v>
      </c>
      <c r="O21" t="s">
        <v>237</v>
      </c>
    </row>
    <row r="22" spans="1:27" x14ac:dyDescent="0.25">
      <c r="A22" s="7" t="s">
        <v>93</v>
      </c>
      <c r="B22" s="7">
        <v>1336.67</v>
      </c>
      <c r="C22" s="7">
        <v>606.29999999999995</v>
      </c>
      <c r="I22" t="s">
        <v>234</v>
      </c>
      <c r="J22" t="s">
        <v>238</v>
      </c>
      <c r="K22">
        <v>61.357900000000001</v>
      </c>
      <c r="L22">
        <v>7.4124999999999996</v>
      </c>
      <c r="M22">
        <v>2.0439600000000002</v>
      </c>
      <c r="N22">
        <v>944.77499999999998</v>
      </c>
      <c r="O22" t="s">
        <v>239</v>
      </c>
    </row>
    <row r="23" spans="1:27" x14ac:dyDescent="0.25">
      <c r="I23" t="s">
        <v>240</v>
      </c>
      <c r="J23" t="s">
        <v>67</v>
      </c>
      <c r="K23">
        <v>118.5929794372454</v>
      </c>
      <c r="L23">
        <v>4.2797000000000001</v>
      </c>
      <c r="M23">
        <v>1.3716999999999999</v>
      </c>
      <c r="O23" t="s">
        <v>241</v>
      </c>
    </row>
    <row r="24" spans="1:27" x14ac:dyDescent="0.25">
      <c r="I24" t="s">
        <v>240</v>
      </c>
      <c r="J24" t="s">
        <v>242</v>
      </c>
      <c r="K24">
        <v>59.284278073074297</v>
      </c>
      <c r="L24">
        <v>27.4026</v>
      </c>
      <c r="M24">
        <v>4.8231999999999999</v>
      </c>
      <c r="O24" t="s">
        <v>241</v>
      </c>
    </row>
    <row r="26" spans="1:27" x14ac:dyDescent="0.25">
      <c r="A26" s="7" t="s">
        <v>103</v>
      </c>
    </row>
    <row r="27" spans="1:27" x14ac:dyDescent="0.25">
      <c r="A27" s="10" t="s">
        <v>106</v>
      </c>
      <c r="R27" t="s">
        <v>144</v>
      </c>
    </row>
    <row r="28" spans="1:27" x14ac:dyDescent="0.25">
      <c r="A28" s="10" t="s">
        <v>108</v>
      </c>
      <c r="I28" t="s">
        <v>66</v>
      </c>
      <c r="S28" t="s">
        <v>132</v>
      </c>
    </row>
    <row r="29" spans="1:27" x14ac:dyDescent="0.25">
      <c r="A29" s="10" t="s">
        <v>110</v>
      </c>
      <c r="J29" t="s">
        <v>69</v>
      </c>
      <c r="K29" t="s">
        <v>70</v>
      </c>
      <c r="L29" t="s">
        <v>71</v>
      </c>
      <c r="M29" t="s">
        <v>72</v>
      </c>
      <c r="N29" t="s">
        <v>73</v>
      </c>
      <c r="O29" t="s">
        <v>74</v>
      </c>
      <c r="P29" t="s">
        <v>75</v>
      </c>
      <c r="S29" t="s">
        <v>93</v>
      </c>
      <c r="V29" t="s">
        <v>243</v>
      </c>
      <c r="Y29" t="s">
        <v>244</v>
      </c>
    </row>
    <row r="30" spans="1:27" x14ac:dyDescent="0.25">
      <c r="A30" s="10" t="s">
        <v>112</v>
      </c>
      <c r="I30" t="s">
        <v>81</v>
      </c>
      <c r="S30" t="s">
        <v>151</v>
      </c>
      <c r="T30" t="s">
        <v>152</v>
      </c>
      <c r="U30" t="s">
        <v>153</v>
      </c>
      <c r="V30" t="s">
        <v>151</v>
      </c>
      <c r="W30" t="s">
        <v>152</v>
      </c>
      <c r="X30" t="s">
        <v>153</v>
      </c>
      <c r="Y30" t="s">
        <v>151</v>
      </c>
      <c r="Z30" t="s">
        <v>152</v>
      </c>
      <c r="AA30" t="s">
        <v>153</v>
      </c>
    </row>
    <row r="31" spans="1:27" x14ac:dyDescent="0.25">
      <c r="A31" s="10" t="s">
        <v>114</v>
      </c>
      <c r="I31" t="s">
        <v>85</v>
      </c>
      <c r="J31">
        <v>248.90234699300731</v>
      </c>
      <c r="K31">
        <v>14.625495742340391</v>
      </c>
      <c r="L31">
        <v>0</v>
      </c>
      <c r="M31">
        <v>1.112425036114816</v>
      </c>
      <c r="N31">
        <v>18.48717368750534</v>
      </c>
      <c r="O31">
        <v>84.690348231192786</v>
      </c>
      <c r="P31">
        <v>115.488891867699</v>
      </c>
      <c r="R31" t="s">
        <v>155</v>
      </c>
    </row>
    <row r="32" spans="1:27" x14ac:dyDescent="0.25">
      <c r="A32" s="10" t="s">
        <v>116</v>
      </c>
      <c r="I32" t="s">
        <v>88</v>
      </c>
      <c r="J32">
        <v>233.20584892021739</v>
      </c>
      <c r="K32">
        <v>13.441564210118781</v>
      </c>
      <c r="L32">
        <v>0</v>
      </c>
      <c r="M32">
        <v>0.90126275484362661</v>
      </c>
      <c r="N32">
        <v>17.624372820643121</v>
      </c>
      <c r="O32">
        <v>79.740463990992893</v>
      </c>
      <c r="P32">
        <v>112.6296965269582</v>
      </c>
      <c r="R32" t="s">
        <v>85</v>
      </c>
      <c r="S32">
        <v>3.3023140572429059</v>
      </c>
      <c r="T32">
        <v>6.351985514664392</v>
      </c>
      <c r="U32">
        <v>21.175624652877289</v>
      </c>
      <c r="V32">
        <v>0</v>
      </c>
      <c r="W32">
        <v>3.0513170960561111</v>
      </c>
      <c r="X32">
        <v>3.0513170960561111</v>
      </c>
      <c r="Y32">
        <v>3.3023140572429059</v>
      </c>
      <c r="Z32">
        <v>3.3006684186082809</v>
      </c>
      <c r="AA32">
        <v>18.124307556821179</v>
      </c>
    </row>
    <row r="33" spans="1:27" x14ac:dyDescent="0.25">
      <c r="A33" s="10" t="s">
        <v>118</v>
      </c>
      <c r="I33" t="s">
        <v>90</v>
      </c>
      <c r="J33">
        <v>131.10891623405519</v>
      </c>
      <c r="K33">
        <v>1.3655942149624369</v>
      </c>
      <c r="L33">
        <v>0</v>
      </c>
      <c r="M33">
        <v>0.2437341819975177</v>
      </c>
      <c r="N33">
        <v>0.9948756606452277</v>
      </c>
      <c r="O33">
        <v>10.902275370335889</v>
      </c>
      <c r="P33">
        <v>80.839687587516877</v>
      </c>
      <c r="R33" t="s">
        <v>88</v>
      </c>
      <c r="S33">
        <v>2.8384429440418968</v>
      </c>
      <c r="T33">
        <v>6.0425599923649642</v>
      </c>
      <c r="U33">
        <v>18.38352430269882</v>
      </c>
      <c r="V33">
        <v>0</v>
      </c>
      <c r="W33">
        <v>2.9700762524374449</v>
      </c>
      <c r="X33">
        <v>2.9700762524374449</v>
      </c>
      <c r="Y33">
        <v>2.8384429440418968</v>
      </c>
      <c r="Z33">
        <v>3.072483739927518</v>
      </c>
      <c r="AA33">
        <v>15.413448050261371</v>
      </c>
    </row>
    <row r="34" spans="1:27" x14ac:dyDescent="0.25">
      <c r="A34" s="10" t="s">
        <v>120</v>
      </c>
      <c r="I34" t="s">
        <v>92</v>
      </c>
      <c r="J34">
        <v>47.058772525974831</v>
      </c>
      <c r="K34">
        <v>6.8058443437491833</v>
      </c>
      <c r="L34">
        <v>0</v>
      </c>
      <c r="M34">
        <v>0.36622189881190897</v>
      </c>
      <c r="N34">
        <v>11.60033159843692</v>
      </c>
      <c r="O34">
        <v>37.166606365951978</v>
      </c>
      <c r="P34">
        <v>5.5696325243508289</v>
      </c>
      <c r="R34" t="s">
        <v>90</v>
      </c>
      <c r="S34">
        <v>1.0557679461642671</v>
      </c>
      <c r="T34">
        <v>3.5060780849134239</v>
      </c>
      <c r="U34">
        <v>9.2379758166824786</v>
      </c>
      <c r="V34">
        <v>0</v>
      </c>
      <c r="W34">
        <v>2.5068913883770318</v>
      </c>
      <c r="X34">
        <v>2.5068913883770318</v>
      </c>
      <c r="Y34">
        <v>1.0557679461642671</v>
      </c>
      <c r="Z34">
        <v>0.99918669653639147</v>
      </c>
      <c r="AA34">
        <v>6.7310844283054454</v>
      </c>
    </row>
    <row r="35" spans="1:27" x14ac:dyDescent="0.25">
      <c r="I35" t="s">
        <v>94</v>
      </c>
      <c r="J35">
        <v>55.038160160187381</v>
      </c>
      <c r="K35">
        <v>5.2701256514071551</v>
      </c>
      <c r="L35">
        <v>0</v>
      </c>
      <c r="M35">
        <v>0.29130667403420007</v>
      </c>
      <c r="N35">
        <v>5.0291655615609736</v>
      </c>
      <c r="O35">
        <v>31.671582254705012</v>
      </c>
      <c r="P35">
        <v>26.220376415090509</v>
      </c>
      <c r="R35" t="s">
        <v>92</v>
      </c>
      <c r="S35">
        <v>1.14736454064708</v>
      </c>
      <c r="T35">
        <v>4.2133590204150657</v>
      </c>
      <c r="U35">
        <v>9.7874108149495171</v>
      </c>
      <c r="V35">
        <v>0</v>
      </c>
      <c r="W35">
        <v>2.6617414986140409</v>
      </c>
      <c r="X35">
        <v>2.6617414986140409</v>
      </c>
      <c r="Y35">
        <v>1.14736454064708</v>
      </c>
      <c r="Z35">
        <v>1.551617521801024</v>
      </c>
      <c r="AA35">
        <v>7.1256693163354754</v>
      </c>
    </row>
    <row r="36" spans="1:27" x14ac:dyDescent="0.25">
      <c r="I36" t="s">
        <v>95</v>
      </c>
      <c r="J36">
        <v>25181.043985030588</v>
      </c>
      <c r="K36">
        <v>8822.6720088080183</v>
      </c>
      <c r="L36">
        <v>0</v>
      </c>
      <c r="M36">
        <v>74.751848203411001</v>
      </c>
      <c r="N36">
        <v>5937.2881295828884</v>
      </c>
      <c r="O36">
        <v>2309.7880889641951</v>
      </c>
      <c r="P36">
        <v>11868.198396496789</v>
      </c>
      <c r="R36" t="s">
        <v>94</v>
      </c>
      <c r="S36">
        <v>0.63531045723054991</v>
      </c>
      <c r="T36">
        <v>2.794554780875337</v>
      </c>
      <c r="U36">
        <v>3.8295695649056838</v>
      </c>
      <c r="V36">
        <v>0</v>
      </c>
      <c r="W36">
        <v>2.2728752592852342</v>
      </c>
      <c r="X36">
        <v>2.2728752592852342</v>
      </c>
      <c r="Y36">
        <v>0.63531045723054991</v>
      </c>
      <c r="Z36">
        <v>0.52167952159010267</v>
      </c>
      <c r="AA36">
        <v>1.5566943056204501</v>
      </c>
    </row>
    <row r="37" spans="1:27" x14ac:dyDescent="0.25">
      <c r="I37" t="s">
        <v>99</v>
      </c>
      <c r="R37" t="s">
        <v>165</v>
      </c>
      <c r="S37">
        <v>1202.5209851035561</v>
      </c>
      <c r="T37">
        <v>1471.279607989806</v>
      </c>
      <c r="U37">
        <v>2237.41313700202</v>
      </c>
      <c r="V37">
        <v>0</v>
      </c>
      <c r="W37">
        <v>148.73893538624691</v>
      </c>
      <c r="X37">
        <v>148.73893538624691</v>
      </c>
      <c r="Y37">
        <v>1202.5209851035561</v>
      </c>
      <c r="Z37">
        <v>1322.540672603559</v>
      </c>
      <c r="AA37">
        <v>2088.6742016157741</v>
      </c>
    </row>
    <row r="38" spans="1:27" x14ac:dyDescent="0.25">
      <c r="I38" t="s">
        <v>102</v>
      </c>
      <c r="J38">
        <v>4243.918298748712</v>
      </c>
      <c r="K38">
        <v>436.79828559085291</v>
      </c>
      <c r="L38">
        <v>0</v>
      </c>
      <c r="M38">
        <v>9.6203875087321009</v>
      </c>
      <c r="N38">
        <v>1463.9359000304601</v>
      </c>
      <c r="O38">
        <v>1307.853753781365</v>
      </c>
      <c r="P38">
        <v>1880.463551195518</v>
      </c>
      <c r="R38" t="s">
        <v>167</v>
      </c>
    </row>
    <row r="39" spans="1:27" x14ac:dyDescent="0.25">
      <c r="I39" t="s">
        <v>105</v>
      </c>
      <c r="J39">
        <v>14302.819050358639</v>
      </c>
      <c r="K39">
        <v>1147.681612834893</v>
      </c>
      <c r="L39">
        <v>0</v>
      </c>
      <c r="M39">
        <v>37.373677980821498</v>
      </c>
      <c r="N39">
        <v>2193.9516928275889</v>
      </c>
      <c r="O39">
        <v>37385.679853064597</v>
      </c>
      <c r="P39">
        <v>8231.1430965620202</v>
      </c>
      <c r="R39" t="s">
        <v>102</v>
      </c>
      <c r="S39">
        <v>55.211574013227803</v>
      </c>
      <c r="T39">
        <v>111.0663160167846</v>
      </c>
      <c r="U39">
        <v>253.97031899967541</v>
      </c>
      <c r="V39">
        <v>0</v>
      </c>
      <c r="W39">
        <v>57.999535602568599</v>
      </c>
      <c r="X39">
        <v>57.999535602568599</v>
      </c>
      <c r="Y39">
        <v>55.211574013227803</v>
      </c>
      <c r="Z39">
        <v>53.066780414216048</v>
      </c>
      <c r="AA39">
        <v>195.97078339710691</v>
      </c>
    </row>
    <row r="40" spans="1:27" x14ac:dyDescent="0.25">
      <c r="I40" t="s">
        <v>107</v>
      </c>
      <c r="J40">
        <v>35484.383743546197</v>
      </c>
      <c r="K40">
        <v>6756.5411450069878</v>
      </c>
      <c r="L40">
        <v>0</v>
      </c>
      <c r="M40">
        <v>78.490964543838032</v>
      </c>
      <c r="N40">
        <v>7574.669142079576</v>
      </c>
      <c r="O40">
        <v>4364.253252359068</v>
      </c>
      <c r="P40">
        <v>16298.928401145249</v>
      </c>
      <c r="R40" t="s">
        <v>105</v>
      </c>
      <c r="S40">
        <v>220.28679878102869</v>
      </c>
      <c r="T40">
        <v>478.39066982480108</v>
      </c>
      <c r="U40">
        <v>948.65343487100665</v>
      </c>
      <c r="V40">
        <v>0</v>
      </c>
      <c r="W40">
        <v>242.4433662848852</v>
      </c>
      <c r="X40">
        <v>242.4433662848852</v>
      </c>
      <c r="Y40">
        <v>220.28679878102869</v>
      </c>
      <c r="Z40">
        <v>235.94730353991579</v>
      </c>
      <c r="AA40">
        <v>706.21006858612145</v>
      </c>
    </row>
    <row r="41" spans="1:27" x14ac:dyDescent="0.25">
      <c r="I41" t="s">
        <v>109</v>
      </c>
      <c r="J41">
        <v>4952.2458691485199</v>
      </c>
      <c r="K41">
        <v>1175.3234540111141</v>
      </c>
      <c r="L41">
        <v>0</v>
      </c>
      <c r="M41">
        <v>10.96361730463819</v>
      </c>
      <c r="N41">
        <v>1013.891415438068</v>
      </c>
      <c r="O41">
        <v>479.31490948688639</v>
      </c>
      <c r="P41">
        <v>2957.151822721909</v>
      </c>
      <c r="R41" t="s">
        <v>107</v>
      </c>
      <c r="S41">
        <v>510.67496529709967</v>
      </c>
      <c r="T41">
        <v>925.18296788136911</v>
      </c>
      <c r="U41">
        <v>2029.791469608617</v>
      </c>
      <c r="V41">
        <v>0</v>
      </c>
      <c r="W41">
        <v>497.85663267262493</v>
      </c>
      <c r="X41">
        <v>497.85663267262493</v>
      </c>
      <c r="Y41">
        <v>510.67496529709967</v>
      </c>
      <c r="Z41">
        <v>427.32633520874418</v>
      </c>
      <c r="AA41">
        <v>1531.934836935993</v>
      </c>
    </row>
    <row r="42" spans="1:27" x14ac:dyDescent="0.25">
      <c r="I42" t="s">
        <v>111</v>
      </c>
      <c r="J42">
        <v>3612.8563944210218</v>
      </c>
      <c r="K42">
        <v>956.68596514686271</v>
      </c>
      <c r="L42">
        <v>0</v>
      </c>
      <c r="M42">
        <v>6.1924533526528087</v>
      </c>
      <c r="N42">
        <v>850.38647111495447</v>
      </c>
      <c r="O42">
        <v>294.83967554586411</v>
      </c>
      <c r="P42">
        <v>2090.0694740561739</v>
      </c>
      <c r="R42" t="s">
        <v>109</v>
      </c>
      <c r="S42">
        <v>44.27750578147193</v>
      </c>
      <c r="T42">
        <v>75.658013056490418</v>
      </c>
      <c r="U42">
        <v>224.4962497643595</v>
      </c>
      <c r="V42">
        <v>0</v>
      </c>
      <c r="W42">
        <v>29.590311828368009</v>
      </c>
      <c r="X42">
        <v>29.590311828368009</v>
      </c>
      <c r="Y42">
        <v>44.27750578147193</v>
      </c>
      <c r="Z42">
        <v>46.067701228122417</v>
      </c>
      <c r="AA42">
        <v>194.90593793599149</v>
      </c>
    </row>
    <row r="43" spans="1:27" x14ac:dyDescent="0.25">
      <c r="I43" t="s">
        <v>113</v>
      </c>
      <c r="J43">
        <v>28527.039207943839</v>
      </c>
      <c r="K43">
        <v>11678.53985506235</v>
      </c>
      <c r="L43">
        <v>0</v>
      </c>
      <c r="M43">
        <v>46.594274195360427</v>
      </c>
      <c r="N43">
        <v>9506.9171703537249</v>
      </c>
      <c r="O43">
        <v>1500.9258445798309</v>
      </c>
      <c r="P43">
        <v>13860.016809021319</v>
      </c>
      <c r="R43" t="s">
        <v>111</v>
      </c>
      <c r="S43">
        <v>33.78986895515974</v>
      </c>
      <c r="T43">
        <v>60.604522016463747</v>
      </c>
      <c r="U43">
        <v>156.8386401637502</v>
      </c>
      <c r="V43">
        <v>0</v>
      </c>
      <c r="W43">
        <v>26.64594841059742</v>
      </c>
      <c r="X43">
        <v>26.64594841059742</v>
      </c>
      <c r="Y43">
        <v>33.78986895515974</v>
      </c>
      <c r="Z43">
        <v>33.95857360586632</v>
      </c>
      <c r="AA43">
        <v>130.19269175315279</v>
      </c>
    </row>
    <row r="44" spans="1:27" x14ac:dyDescent="0.25">
      <c r="I44" t="s">
        <v>115</v>
      </c>
      <c r="J44">
        <v>445.44711702359609</v>
      </c>
      <c r="K44">
        <v>72.941055325340159</v>
      </c>
      <c r="L44">
        <v>0</v>
      </c>
      <c r="M44">
        <v>0.41760632666407382</v>
      </c>
      <c r="N44">
        <v>81.342636871198778</v>
      </c>
      <c r="O44">
        <v>25.19070115035888</v>
      </c>
      <c r="P44">
        <v>193.61539993245361</v>
      </c>
      <c r="R44" t="s">
        <v>113</v>
      </c>
      <c r="S44">
        <v>392.30418860143692</v>
      </c>
      <c r="T44">
        <v>383.65352325108648</v>
      </c>
      <c r="U44">
        <v>1114.0407345677111</v>
      </c>
      <c r="V44">
        <v>0</v>
      </c>
      <c r="W44">
        <v>42.60965867890863</v>
      </c>
      <c r="X44">
        <v>42.60965867890863</v>
      </c>
      <c r="Y44">
        <v>392.30418860143692</v>
      </c>
      <c r="Z44">
        <v>341.04386457217788</v>
      </c>
      <c r="AA44">
        <v>1071.431075888803</v>
      </c>
    </row>
    <row r="45" spans="1:27" x14ac:dyDescent="0.25">
      <c r="I45" t="s">
        <v>117</v>
      </c>
      <c r="J45">
        <v>898.33814141114328</v>
      </c>
      <c r="K45">
        <v>172.46566844118291</v>
      </c>
      <c r="L45">
        <v>0</v>
      </c>
      <c r="M45">
        <v>1.130015988715642</v>
      </c>
      <c r="N45">
        <v>200.40747901647731</v>
      </c>
      <c r="O45">
        <v>68.415774255895883</v>
      </c>
      <c r="P45">
        <v>363.22674955424509</v>
      </c>
      <c r="R45" t="s">
        <v>115</v>
      </c>
      <c r="S45">
        <v>12.54998808666563</v>
      </c>
      <c r="T45">
        <v>21.70518161631917</v>
      </c>
      <c r="U45">
        <v>31.642403916070741</v>
      </c>
      <c r="V45">
        <v>0</v>
      </c>
      <c r="W45">
        <v>12.56619098580834</v>
      </c>
      <c r="X45">
        <v>12.56619098580834</v>
      </c>
      <c r="Y45">
        <v>12.54998808666563</v>
      </c>
      <c r="Z45">
        <v>9.1389906305108379</v>
      </c>
      <c r="AA45">
        <v>19.076212930262411</v>
      </c>
    </row>
    <row r="46" spans="1:27" x14ac:dyDescent="0.25">
      <c r="I46" t="s">
        <v>119</v>
      </c>
      <c r="J46">
        <v>32555.142765901921</v>
      </c>
      <c r="K46">
        <v>1701.216986857135</v>
      </c>
      <c r="L46">
        <v>0</v>
      </c>
      <c r="M46">
        <v>116.9577443394795</v>
      </c>
      <c r="N46">
        <v>2346.583958674405</v>
      </c>
      <c r="O46">
        <v>165620.99590560611</v>
      </c>
      <c r="P46">
        <v>15143.69440494278</v>
      </c>
      <c r="R46" t="s">
        <v>117</v>
      </c>
      <c r="S46">
        <v>7.7379775270365379</v>
      </c>
      <c r="T46">
        <v>13.76295336862086</v>
      </c>
      <c r="U46">
        <v>39.858677216998821</v>
      </c>
      <c r="V46">
        <v>0</v>
      </c>
      <c r="W46">
        <v>6.957848552980388</v>
      </c>
      <c r="X46">
        <v>6.957848552980388</v>
      </c>
      <c r="Y46">
        <v>7.7379775270365379</v>
      </c>
      <c r="Z46">
        <v>6.8051048156404681</v>
      </c>
      <c r="AA46">
        <v>32.900828664018427</v>
      </c>
    </row>
    <row r="47" spans="1:27" x14ac:dyDescent="0.25">
      <c r="I47" t="s">
        <v>121</v>
      </c>
      <c r="J47">
        <v>271.19333015801971</v>
      </c>
      <c r="K47">
        <v>24.113304937588541</v>
      </c>
      <c r="L47">
        <v>0</v>
      </c>
      <c r="M47">
        <v>1.3505699999348071</v>
      </c>
      <c r="N47">
        <v>28.397738556501668</v>
      </c>
      <c r="O47">
        <v>70.142364098033852</v>
      </c>
      <c r="P47">
        <v>77.921668413664136</v>
      </c>
      <c r="R47" t="s">
        <v>119</v>
      </c>
      <c r="S47">
        <v>420.09707941801162</v>
      </c>
      <c r="T47">
        <v>1008.713338845303</v>
      </c>
      <c r="U47">
        <v>2982.521560275999</v>
      </c>
      <c r="V47">
        <v>0</v>
      </c>
      <c r="W47">
        <v>515.48138060845122</v>
      </c>
      <c r="X47">
        <v>515.48138060845122</v>
      </c>
      <c r="Y47">
        <v>420.09707941801162</v>
      </c>
      <c r="Z47">
        <v>493.23195823685228</v>
      </c>
      <c r="AA47">
        <v>2467.0401796675469</v>
      </c>
    </row>
    <row r="48" spans="1:27" x14ac:dyDescent="0.25">
      <c r="I48" t="s">
        <v>122</v>
      </c>
      <c r="J48">
        <v>20539323.662644591</v>
      </c>
      <c r="K48">
        <v>965206.73106171936</v>
      </c>
      <c r="L48">
        <v>0</v>
      </c>
      <c r="M48">
        <v>69974.208762474023</v>
      </c>
      <c r="N48">
        <v>1213824.1667886181</v>
      </c>
      <c r="O48">
        <v>2932958.8066708869</v>
      </c>
      <c r="P48">
        <v>10726257.50370804</v>
      </c>
      <c r="R48" t="s">
        <v>121</v>
      </c>
      <c r="S48">
        <v>4.3018654459626493</v>
      </c>
      <c r="T48">
        <v>9.7605552066137662</v>
      </c>
      <c r="U48">
        <v>28.30312680771414</v>
      </c>
      <c r="V48">
        <v>0</v>
      </c>
      <c r="W48">
        <v>5.3868317352521142</v>
      </c>
      <c r="X48">
        <v>5.3868317352521142</v>
      </c>
      <c r="Y48">
        <v>4.3018654459626493</v>
      </c>
      <c r="Z48">
        <v>4.3737234713616511</v>
      </c>
      <c r="AA48">
        <v>22.91629507246202</v>
      </c>
    </row>
    <row r="49" spans="9:27" x14ac:dyDescent="0.25">
      <c r="I49" t="s">
        <v>123</v>
      </c>
      <c r="R49" t="s">
        <v>122</v>
      </c>
      <c r="S49">
        <v>1305047.693659164</v>
      </c>
      <c r="T49">
        <v>681863.68189534917</v>
      </c>
      <c r="U49">
        <v>1656432.712446284</v>
      </c>
      <c r="V49">
        <v>0</v>
      </c>
      <c r="W49">
        <v>429605.36789933499</v>
      </c>
      <c r="X49">
        <v>429605.36789933499</v>
      </c>
      <c r="Y49">
        <v>1305047.693659164</v>
      </c>
      <c r="Z49">
        <v>252258.31399601421</v>
      </c>
      <c r="AA49">
        <v>1226827.344546949</v>
      </c>
    </row>
    <row r="50" spans="9:27" x14ac:dyDescent="0.25">
      <c r="I50" t="s">
        <v>102</v>
      </c>
      <c r="J50">
        <v>188.5309425749129</v>
      </c>
      <c r="K50">
        <v>27.825041013166469</v>
      </c>
      <c r="L50">
        <v>0</v>
      </c>
      <c r="M50">
        <v>1.0348857738056889</v>
      </c>
      <c r="N50">
        <v>30.96632912867889</v>
      </c>
      <c r="O50">
        <v>93.586695401349672</v>
      </c>
      <c r="P50">
        <v>74.522745841340253</v>
      </c>
      <c r="R50" t="s">
        <v>124</v>
      </c>
      <c r="S50">
        <v>1305565.934701018</v>
      </c>
      <c r="T50">
        <v>682961.59534713568</v>
      </c>
      <c r="U50">
        <v>1658714.9943857731</v>
      </c>
      <c r="V50">
        <v>0</v>
      </c>
      <c r="W50">
        <v>430167.11555136309</v>
      </c>
      <c r="X50">
        <v>430167.11555136309</v>
      </c>
      <c r="Y50">
        <v>1305565.934701018</v>
      </c>
      <c r="Z50">
        <v>252794.47979577261</v>
      </c>
      <c r="AA50">
        <v>1228547.8788344101</v>
      </c>
    </row>
    <row r="51" spans="9:27" x14ac:dyDescent="0.25">
      <c r="I51" t="s">
        <v>105</v>
      </c>
      <c r="J51">
        <v>669.33780111588726</v>
      </c>
      <c r="K51">
        <v>69.713973784535625</v>
      </c>
      <c r="L51">
        <v>0</v>
      </c>
      <c r="M51">
        <v>4.8107834906856706</v>
      </c>
      <c r="N51">
        <v>81.016229563067611</v>
      </c>
      <c r="O51">
        <v>228.50113805721219</v>
      </c>
      <c r="P51">
        <v>143.550044275022</v>
      </c>
      <c r="R51" s="13" t="s">
        <v>125</v>
      </c>
      <c r="S51" s="13">
        <v>1319259.236934423</v>
      </c>
      <c r="T51" s="13">
        <v>715685.8844161313</v>
      </c>
      <c r="U51" s="13">
        <v>1755320.8905005041</v>
      </c>
      <c r="V51">
        <v>0</v>
      </c>
      <c r="W51">
        <v>446999.06575721869</v>
      </c>
      <c r="X51">
        <v>446999.06575721869</v>
      </c>
      <c r="Y51">
        <v>1319259.236934423</v>
      </c>
      <c r="Z51">
        <v>268686.8186589125</v>
      </c>
      <c r="AA51">
        <v>1308321.8247432851</v>
      </c>
    </row>
    <row r="52" spans="9:27" x14ac:dyDescent="0.25">
      <c r="I52" t="s">
        <v>128</v>
      </c>
      <c r="J52">
        <v>1439.945276233504</v>
      </c>
      <c r="K52">
        <v>338.28231984154041</v>
      </c>
      <c r="L52">
        <v>0</v>
      </c>
      <c r="M52">
        <v>9.6859793431654442</v>
      </c>
      <c r="N52">
        <v>383.67569316629442</v>
      </c>
      <c r="O52">
        <v>374.81381197548581</v>
      </c>
      <c r="P52">
        <v>325.54597398594922</v>
      </c>
      <c r="R52" t="s">
        <v>173</v>
      </c>
    </row>
    <row r="53" spans="9:27" x14ac:dyDescent="0.25">
      <c r="I53" t="s">
        <v>109</v>
      </c>
      <c r="J53">
        <v>153.83409674671739</v>
      </c>
      <c r="K53">
        <v>29.28464003526253</v>
      </c>
      <c r="L53">
        <v>0</v>
      </c>
      <c r="M53">
        <v>1.125951258733578</v>
      </c>
      <c r="N53">
        <v>31.789143029508171</v>
      </c>
      <c r="O53">
        <v>38.534017529723357</v>
      </c>
      <c r="P53">
        <v>36.759981231661563</v>
      </c>
      <c r="R53" t="s">
        <v>102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9:27" x14ac:dyDescent="0.25">
      <c r="I54" t="s">
        <v>111</v>
      </c>
      <c r="J54">
        <v>124.565110472773</v>
      </c>
      <c r="K54">
        <v>26.350106499761829</v>
      </c>
      <c r="L54">
        <v>0</v>
      </c>
      <c r="M54">
        <v>0.94456086447736609</v>
      </c>
      <c r="N54">
        <v>28.775036306889099</v>
      </c>
      <c r="O54">
        <v>32.113793146498622</v>
      </c>
      <c r="P54">
        <v>30.07592460247675</v>
      </c>
      <c r="R54" t="s">
        <v>105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9:27" x14ac:dyDescent="0.25">
      <c r="I55" t="s">
        <v>113</v>
      </c>
      <c r="J55">
        <v>1479.3492092750021</v>
      </c>
      <c r="K55">
        <v>221.06541912214271</v>
      </c>
      <c r="L55">
        <v>0</v>
      </c>
      <c r="M55">
        <v>9.1371445470114701</v>
      </c>
      <c r="N55">
        <v>240.8596900555774</v>
      </c>
      <c r="O55">
        <v>232.94797472766319</v>
      </c>
      <c r="P55">
        <v>305.78748448865798</v>
      </c>
      <c r="R55" t="s">
        <v>128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9:27" x14ac:dyDescent="0.25">
      <c r="I56" t="s">
        <v>115</v>
      </c>
      <c r="J56">
        <v>7.6057488941921854</v>
      </c>
      <c r="K56">
        <v>3.3920659780747342</v>
      </c>
      <c r="L56">
        <v>0</v>
      </c>
      <c r="M56">
        <v>5.1015627448604682E-2</v>
      </c>
      <c r="N56">
        <v>3.894672845491451</v>
      </c>
      <c r="O56">
        <v>2.5383378908573602</v>
      </c>
      <c r="P56">
        <v>2.3014375476604898</v>
      </c>
      <c r="R56" t="s">
        <v>109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9:27" x14ac:dyDescent="0.25">
      <c r="I57" t="s">
        <v>117</v>
      </c>
      <c r="J57">
        <v>19.55367053905897</v>
      </c>
      <c r="K57">
        <v>9.44863970736567</v>
      </c>
      <c r="L57">
        <v>0</v>
      </c>
      <c r="M57">
        <v>0.24457941051421489</v>
      </c>
      <c r="N57">
        <v>10.53679841365914</v>
      </c>
      <c r="O57">
        <v>7.4517139106990768</v>
      </c>
      <c r="P57">
        <v>4.6561887255908578</v>
      </c>
      <c r="R57" t="s">
        <v>111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9:27" x14ac:dyDescent="0.25">
      <c r="J58">
        <f t="shared" ref="J58:P58" si="0">J31*0.3219</f>
        <v>80.121665497049065</v>
      </c>
      <c r="K58">
        <f t="shared" si="0"/>
        <v>4.7079470794593723</v>
      </c>
      <c r="L58">
        <f t="shared" si="0"/>
        <v>0</v>
      </c>
      <c r="M58">
        <f t="shared" si="0"/>
        <v>0.3580896191253593</v>
      </c>
      <c r="N58">
        <f t="shared" si="0"/>
        <v>5.9510212100079691</v>
      </c>
      <c r="O58">
        <f t="shared" si="0"/>
        <v>27.261823095620958</v>
      </c>
      <c r="P58">
        <f t="shared" si="0"/>
        <v>37.175874292212306</v>
      </c>
      <c r="R58" t="s">
        <v>113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9:27" x14ac:dyDescent="0.25"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9:27" x14ac:dyDescent="0.25">
      <c r="R60" t="s">
        <v>117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9:27" x14ac:dyDescent="0.25">
      <c r="R61" s="6" t="s">
        <v>174</v>
      </c>
      <c r="S61" s="6">
        <f>S51/2000*2.205/1000</f>
        <v>1.4544833087202014</v>
      </c>
      <c r="T61" s="6">
        <f>T51/2000*2.205/1000</f>
        <v>0.78904368756878474</v>
      </c>
      <c r="U61" s="6">
        <f>U51/2000*2.205/1000</f>
        <v>1.9352412817768057</v>
      </c>
    </row>
    <row r="64" spans="9:27" x14ac:dyDescent="0.25">
      <c r="R64" t="s">
        <v>175</v>
      </c>
    </row>
    <row r="65" spans="18:21" x14ac:dyDescent="0.25">
      <c r="S65" t="s">
        <v>176</v>
      </c>
      <c r="U65" t="s">
        <v>132</v>
      </c>
    </row>
    <row r="66" spans="18:21" x14ac:dyDescent="0.25">
      <c r="S66" t="s">
        <v>151</v>
      </c>
      <c r="T66" t="s">
        <v>152</v>
      </c>
      <c r="U66" t="s">
        <v>153</v>
      </c>
    </row>
    <row r="67" spans="18:21" x14ac:dyDescent="0.25">
      <c r="R67" t="s">
        <v>177</v>
      </c>
    </row>
    <row r="68" spans="18:21" x14ac:dyDescent="0.25">
      <c r="R68" t="s">
        <v>85</v>
      </c>
      <c r="S68">
        <v>0</v>
      </c>
      <c r="T68">
        <v>9.3511552100146584</v>
      </c>
      <c r="U68">
        <v>31.77835178795036</v>
      </c>
    </row>
    <row r="69" spans="18:21" x14ac:dyDescent="0.25">
      <c r="R69" t="s">
        <v>88</v>
      </c>
      <c r="S69">
        <v>0</v>
      </c>
      <c r="T69">
        <v>8.8956305432341995</v>
      </c>
      <c r="U69">
        <v>27.588234678787551</v>
      </c>
    </row>
    <row r="70" spans="18:21" x14ac:dyDescent="0.25">
      <c r="R70" t="s">
        <v>90</v>
      </c>
      <c r="S70">
        <v>0</v>
      </c>
      <c r="T70">
        <v>5.161516863469835</v>
      </c>
      <c r="U70">
        <v>13.863470387459129</v>
      </c>
    </row>
    <row r="71" spans="18:21" x14ac:dyDescent="0.25">
      <c r="R71" t="s">
        <v>92</v>
      </c>
      <c r="S71">
        <v>0</v>
      </c>
      <c r="T71">
        <v>6.2027493709576396</v>
      </c>
      <c r="U71">
        <v>14.68800987310634</v>
      </c>
    </row>
    <row r="72" spans="18:21" x14ac:dyDescent="0.25">
      <c r="R72" t="s">
        <v>94</v>
      </c>
      <c r="S72">
        <v>0</v>
      </c>
      <c r="T72">
        <v>4.1140388998879001</v>
      </c>
      <c r="U72">
        <v>5.7470516608096798</v>
      </c>
    </row>
    <row r="73" spans="18:21" x14ac:dyDescent="0.25">
      <c r="R73" t="s">
        <v>165</v>
      </c>
      <c r="S73">
        <v>0</v>
      </c>
      <c r="T73">
        <v>2165.9627434413492</v>
      </c>
      <c r="U73">
        <v>3357.6956018140759</v>
      </c>
    </row>
    <row r="74" spans="18:21" x14ac:dyDescent="0.25">
      <c r="R74" t="s">
        <v>178</v>
      </c>
    </row>
    <row r="75" spans="18:21" x14ac:dyDescent="0.25">
      <c r="R75" t="s">
        <v>102</v>
      </c>
      <c r="S75">
        <v>0</v>
      </c>
      <c r="T75">
        <v>163.50767130682991</v>
      </c>
      <c r="U75">
        <v>381.13435958419421</v>
      </c>
    </row>
    <row r="76" spans="18:21" x14ac:dyDescent="0.25">
      <c r="R76" t="s">
        <v>105</v>
      </c>
      <c r="S76">
        <v>0</v>
      </c>
      <c r="T76">
        <v>704.26882967962013</v>
      </c>
      <c r="U76">
        <v>1423.6483254855041</v>
      </c>
    </row>
    <row r="77" spans="18:21" x14ac:dyDescent="0.25">
      <c r="R77" t="s">
        <v>107</v>
      </c>
      <c r="S77">
        <v>0</v>
      </c>
      <c r="T77">
        <v>1362.019719715591</v>
      </c>
      <c r="U77">
        <v>3046.116864781075</v>
      </c>
    </row>
    <row r="78" spans="18:21" x14ac:dyDescent="0.25">
      <c r="R78" t="s">
        <v>109</v>
      </c>
      <c r="S78">
        <v>0</v>
      </c>
      <c r="T78">
        <v>111.38089363384481</v>
      </c>
      <c r="U78">
        <v>336.90249600821193</v>
      </c>
    </row>
    <row r="79" spans="18:21" x14ac:dyDescent="0.25">
      <c r="R79" t="s">
        <v>111</v>
      </c>
      <c r="S79">
        <v>0</v>
      </c>
      <c r="T79">
        <v>89.219707837234552</v>
      </c>
      <c r="U79">
        <v>235.36842774506729</v>
      </c>
    </row>
    <row r="80" spans="18:21" x14ac:dyDescent="0.25">
      <c r="R80" t="s">
        <v>113</v>
      </c>
      <c r="S80">
        <v>0</v>
      </c>
      <c r="T80">
        <v>564.80035014365569</v>
      </c>
      <c r="U80">
        <v>1671.8457636804101</v>
      </c>
    </row>
    <row r="81" spans="18:21" x14ac:dyDescent="0.25">
      <c r="R81" t="s">
        <v>115</v>
      </c>
      <c r="S81">
        <v>0</v>
      </c>
      <c r="T81">
        <v>31.953555575209979</v>
      </c>
      <c r="U81">
        <v>47.485892838806222</v>
      </c>
    </row>
    <row r="82" spans="18:21" x14ac:dyDescent="0.25">
      <c r="R82" t="s">
        <v>117</v>
      </c>
      <c r="S82">
        <v>0</v>
      </c>
      <c r="T82">
        <v>20.261304563911239</v>
      </c>
      <c r="U82">
        <v>59.816089828171492</v>
      </c>
    </row>
    <row r="83" spans="18:21" x14ac:dyDescent="0.25">
      <c r="R83" t="s">
        <v>119</v>
      </c>
      <c r="S83">
        <v>0</v>
      </c>
      <c r="T83">
        <v>1484.990003862267</v>
      </c>
      <c r="U83">
        <v>4475.8830453069477</v>
      </c>
    </row>
    <row r="84" spans="18:21" x14ac:dyDescent="0.25">
      <c r="R84" t="s">
        <v>121</v>
      </c>
      <c r="S84">
        <v>0</v>
      </c>
      <c r="T84">
        <v>14.36912386878836</v>
      </c>
      <c r="U84">
        <v>42.474625194695093</v>
      </c>
    </row>
    <row r="85" spans="18:21" x14ac:dyDescent="0.25">
      <c r="R85" t="s">
        <v>122</v>
      </c>
      <c r="S85">
        <v>0</v>
      </c>
      <c r="T85">
        <v>1003814.17853601</v>
      </c>
      <c r="U85">
        <v>2485815.758074197</v>
      </c>
    </row>
    <row r="86" spans="18:21" x14ac:dyDescent="0.25">
      <c r="R86" t="s">
        <v>124</v>
      </c>
      <c r="S86">
        <v>0</v>
      </c>
      <c r="T86">
        <v>1005430.485605841</v>
      </c>
      <c r="U86">
        <v>2489240.7884825701</v>
      </c>
    </row>
    <row r="87" spans="18:21" x14ac:dyDescent="0.25">
      <c r="R87" t="s">
        <v>125</v>
      </c>
      <c r="S87">
        <v>0</v>
      </c>
      <c r="T87">
        <v>1053605.9585371159</v>
      </c>
      <c r="U87">
        <v>2634217.6759108691</v>
      </c>
    </row>
    <row r="88" spans="18:21" x14ac:dyDescent="0.25">
      <c r="R88" t="s">
        <v>179</v>
      </c>
    </row>
    <row r="89" spans="18:21" x14ac:dyDescent="0.25">
      <c r="R89" t="s">
        <v>102</v>
      </c>
      <c r="S89">
        <v>0</v>
      </c>
      <c r="T89">
        <v>0</v>
      </c>
      <c r="U89">
        <v>0</v>
      </c>
    </row>
    <row r="90" spans="18:21" x14ac:dyDescent="0.25">
      <c r="R90" t="s">
        <v>105</v>
      </c>
      <c r="S90">
        <v>0</v>
      </c>
      <c r="T90">
        <v>0</v>
      </c>
      <c r="U90">
        <v>0</v>
      </c>
    </row>
    <row r="91" spans="18:21" x14ac:dyDescent="0.25">
      <c r="R91" t="s">
        <v>128</v>
      </c>
      <c r="S91">
        <v>0</v>
      </c>
      <c r="T91">
        <v>0</v>
      </c>
      <c r="U91">
        <v>0</v>
      </c>
    </row>
    <row r="92" spans="18:21" x14ac:dyDescent="0.25">
      <c r="R92" t="s">
        <v>109</v>
      </c>
      <c r="S92">
        <v>0</v>
      </c>
      <c r="T92">
        <v>0</v>
      </c>
      <c r="U92">
        <v>0</v>
      </c>
    </row>
    <row r="93" spans="18:21" x14ac:dyDescent="0.25">
      <c r="R93" t="s">
        <v>111</v>
      </c>
      <c r="S93">
        <v>0</v>
      </c>
      <c r="T93">
        <v>0</v>
      </c>
      <c r="U93">
        <v>0</v>
      </c>
    </row>
    <row r="94" spans="18:21" x14ac:dyDescent="0.25">
      <c r="R94" t="s">
        <v>113</v>
      </c>
      <c r="S94">
        <v>0</v>
      </c>
      <c r="T94">
        <v>0</v>
      </c>
      <c r="U94">
        <v>0</v>
      </c>
    </row>
    <row r="95" spans="18:21" x14ac:dyDescent="0.25">
      <c r="R95" t="s">
        <v>115</v>
      </c>
      <c r="S95">
        <v>0</v>
      </c>
      <c r="T95">
        <v>0</v>
      </c>
      <c r="U95">
        <v>0</v>
      </c>
    </row>
    <row r="96" spans="18:21" x14ac:dyDescent="0.25">
      <c r="R96" t="s">
        <v>117</v>
      </c>
      <c r="S96">
        <v>0</v>
      </c>
      <c r="T96">
        <v>0</v>
      </c>
      <c r="U9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0"/>
  <sheetViews>
    <sheetView workbookViewId="0"/>
  </sheetViews>
  <sheetFormatPr defaultRowHeight="15" x14ac:dyDescent="0.25"/>
  <cols>
    <col min="1" max="1" width="40" customWidth="1"/>
    <col min="2" max="3" width="12" customWidth="1"/>
    <col min="4" max="4" width="3" customWidth="1"/>
    <col min="5" max="5" width="24" customWidth="1"/>
    <col min="6" max="6" width="14" customWidth="1"/>
    <col min="7" max="7" width="12" customWidth="1"/>
    <col min="9" max="18" width="15" customWidth="1"/>
    <col min="19" max="19" width="42" customWidth="1"/>
  </cols>
  <sheetData>
    <row r="1" spans="1:19" x14ac:dyDescent="0.25">
      <c r="A1" s="7" t="s">
        <v>16</v>
      </c>
    </row>
    <row r="2" spans="1:19" x14ac:dyDescent="0.25">
      <c r="A2" s="7" t="s">
        <v>17</v>
      </c>
      <c r="E2" s="7" t="s">
        <v>18</v>
      </c>
    </row>
    <row r="3" spans="1:19" x14ac:dyDescent="0.25">
      <c r="A3" s="8" t="s">
        <v>19</v>
      </c>
      <c r="B3" s="8" t="s">
        <v>20</v>
      </c>
      <c r="C3" s="8" t="s">
        <v>21</v>
      </c>
      <c r="E3" s="8" t="s">
        <v>22</v>
      </c>
      <c r="F3" s="8" t="s">
        <v>21</v>
      </c>
      <c r="I3" s="7" t="s">
        <v>25</v>
      </c>
    </row>
    <row r="4" spans="1:19" x14ac:dyDescent="0.25">
      <c r="A4" t="s">
        <v>26</v>
      </c>
      <c r="B4">
        <v>368.78739999999999</v>
      </c>
      <c r="C4">
        <v>167.2792</v>
      </c>
      <c r="E4" t="s">
        <v>27</v>
      </c>
      <c r="F4">
        <v>75.848600000000005</v>
      </c>
      <c r="I4" s="9" t="s">
        <v>129</v>
      </c>
      <c r="J4" s="9" t="s">
        <v>228</v>
      </c>
      <c r="K4" s="9" t="s">
        <v>245</v>
      </c>
      <c r="L4" s="9" t="s">
        <v>246</v>
      </c>
      <c r="M4" s="9" t="s">
        <v>247</v>
      </c>
      <c r="N4" s="9" t="s">
        <v>248</v>
      </c>
      <c r="O4" s="9" t="s">
        <v>249</v>
      </c>
      <c r="P4" s="9" t="s">
        <v>250</v>
      </c>
      <c r="Q4" s="9" t="s">
        <v>251</v>
      </c>
      <c r="R4" s="9" t="s">
        <v>252</v>
      </c>
      <c r="S4" s="8" t="s">
        <v>30</v>
      </c>
    </row>
    <row r="5" spans="1:19" x14ac:dyDescent="0.25">
      <c r="A5" t="s">
        <v>31</v>
      </c>
      <c r="B5">
        <v>189.53989999999999</v>
      </c>
      <c r="C5">
        <v>85.973799999999997</v>
      </c>
      <c r="E5" t="s">
        <v>32</v>
      </c>
      <c r="F5">
        <v>61.357900000000001</v>
      </c>
      <c r="I5" t="s">
        <v>253</v>
      </c>
      <c r="J5" t="s">
        <v>254</v>
      </c>
      <c r="K5">
        <v>1.21391536792942E-2</v>
      </c>
      <c r="L5">
        <v>0.2</v>
      </c>
      <c r="M5">
        <v>0.7</v>
      </c>
      <c r="N5">
        <v>7.3600122836099144</v>
      </c>
      <c r="O5">
        <v>0</v>
      </c>
      <c r="P5">
        <v>0</v>
      </c>
      <c r="Q5">
        <v>1</v>
      </c>
      <c r="R5">
        <v>0.91</v>
      </c>
      <c r="S5" t="s">
        <v>255</v>
      </c>
    </row>
    <row r="6" spans="1:19" x14ac:dyDescent="0.25">
      <c r="A6" t="s">
        <v>36</v>
      </c>
      <c r="B6">
        <v>11.4954</v>
      </c>
      <c r="C6">
        <v>5.2141999999999999</v>
      </c>
      <c r="E6" t="s">
        <v>186</v>
      </c>
      <c r="F6">
        <v>59.216200000000001</v>
      </c>
      <c r="I6" t="s">
        <v>253</v>
      </c>
      <c r="J6" t="s">
        <v>256</v>
      </c>
      <c r="K6">
        <v>9.7667632505429272E-2</v>
      </c>
      <c r="L6">
        <v>0.58499999999999996</v>
      </c>
      <c r="M6">
        <v>0.5</v>
      </c>
      <c r="N6">
        <v>59.216234833337502</v>
      </c>
      <c r="O6">
        <v>0</v>
      </c>
      <c r="P6">
        <v>0</v>
      </c>
      <c r="Q6">
        <v>1</v>
      </c>
      <c r="R6">
        <v>0</v>
      </c>
      <c r="S6" t="s">
        <v>257</v>
      </c>
    </row>
    <row r="7" spans="1:19" x14ac:dyDescent="0.25">
      <c r="A7" t="s">
        <v>40</v>
      </c>
      <c r="B7">
        <v>135.27109999999999</v>
      </c>
      <c r="C7">
        <v>61.357900000000001</v>
      </c>
      <c r="E7" t="s">
        <v>187</v>
      </c>
      <c r="F7">
        <v>7.36</v>
      </c>
      <c r="I7" t="s">
        <v>253</v>
      </c>
      <c r="J7" t="s">
        <v>258</v>
      </c>
      <c r="K7">
        <v>5.4170251870295727E-2</v>
      </c>
      <c r="L7">
        <v>0.5</v>
      </c>
      <c r="M7">
        <v>0.5</v>
      </c>
      <c r="N7">
        <v>32.843617413928357</v>
      </c>
      <c r="O7">
        <v>0</v>
      </c>
      <c r="P7">
        <v>0</v>
      </c>
      <c r="Q7">
        <v>1</v>
      </c>
      <c r="R7">
        <v>0</v>
      </c>
      <c r="S7" t="s">
        <v>259</v>
      </c>
    </row>
    <row r="8" spans="1:19" x14ac:dyDescent="0.25">
      <c r="A8" t="s">
        <v>42</v>
      </c>
      <c r="B8">
        <v>167.2175</v>
      </c>
      <c r="C8">
        <v>75.848600000000005</v>
      </c>
      <c r="E8" t="s">
        <v>190</v>
      </c>
      <c r="F8">
        <v>32.843600000000002</v>
      </c>
      <c r="I8" t="s">
        <v>253</v>
      </c>
      <c r="J8" t="s">
        <v>40</v>
      </c>
      <c r="K8">
        <v>0.1012</v>
      </c>
      <c r="L8">
        <v>0.66669999999999996</v>
      </c>
      <c r="M8">
        <v>0.2</v>
      </c>
      <c r="N8">
        <v>61.357921876529844</v>
      </c>
      <c r="O8">
        <v>0</v>
      </c>
      <c r="P8">
        <v>0</v>
      </c>
      <c r="Q8">
        <v>1</v>
      </c>
      <c r="R8">
        <v>0.96</v>
      </c>
      <c r="S8" t="s">
        <v>260</v>
      </c>
    </row>
    <row r="9" spans="1:19" x14ac:dyDescent="0.25">
      <c r="A9" t="s">
        <v>45</v>
      </c>
      <c r="B9">
        <v>16.9757</v>
      </c>
      <c r="C9">
        <v>7.7000999999999999</v>
      </c>
      <c r="E9" t="s">
        <v>192</v>
      </c>
      <c r="F9">
        <v>118.593</v>
      </c>
      <c r="I9" t="s">
        <v>253</v>
      </c>
      <c r="J9" t="s">
        <v>140</v>
      </c>
      <c r="K9">
        <v>0.12509999999999999</v>
      </c>
      <c r="L9">
        <v>3</v>
      </c>
      <c r="M9">
        <v>0.3</v>
      </c>
      <c r="N9">
        <v>75.848577339465237</v>
      </c>
      <c r="O9">
        <v>0</v>
      </c>
      <c r="P9">
        <v>0</v>
      </c>
      <c r="Q9">
        <v>1</v>
      </c>
      <c r="R9">
        <v>0.93</v>
      </c>
      <c r="S9" t="s">
        <v>261</v>
      </c>
    </row>
    <row r="10" spans="1:19" x14ac:dyDescent="0.25">
      <c r="A10" t="s">
        <v>49</v>
      </c>
      <c r="B10">
        <v>47.050800000000002</v>
      </c>
      <c r="C10">
        <v>21.341899999999999</v>
      </c>
      <c r="E10" t="s">
        <v>194</v>
      </c>
      <c r="F10">
        <v>85.973799999999997</v>
      </c>
      <c r="I10" t="s">
        <v>253</v>
      </c>
      <c r="J10" t="s">
        <v>67</v>
      </c>
      <c r="K10">
        <v>0.1956</v>
      </c>
      <c r="L10">
        <v>0.58499999999999996</v>
      </c>
      <c r="M10">
        <v>0.5</v>
      </c>
      <c r="N10">
        <v>118.5929794372454</v>
      </c>
      <c r="O10">
        <v>0</v>
      </c>
      <c r="P10">
        <v>0</v>
      </c>
      <c r="Q10">
        <v>1</v>
      </c>
      <c r="R10">
        <v>0.95</v>
      </c>
      <c r="S10" t="s">
        <v>262</v>
      </c>
    </row>
    <row r="11" spans="1:19" x14ac:dyDescent="0.25">
      <c r="A11" t="s">
        <v>53</v>
      </c>
      <c r="B11">
        <v>47.050800000000002</v>
      </c>
      <c r="C11">
        <v>21.341899999999999</v>
      </c>
    </row>
    <row r="12" spans="1:19" x14ac:dyDescent="0.25">
      <c r="A12" t="s">
        <v>58</v>
      </c>
      <c r="B12">
        <v>1.0692999999999999</v>
      </c>
      <c r="C12">
        <v>0.48499999999999999</v>
      </c>
      <c r="E12" s="7" t="s">
        <v>50</v>
      </c>
    </row>
    <row r="13" spans="1:19" x14ac:dyDescent="0.25">
      <c r="A13" t="s">
        <v>60</v>
      </c>
      <c r="B13">
        <v>14.035</v>
      </c>
      <c r="C13">
        <v>6.3662000000000001</v>
      </c>
      <c r="E13" s="8" t="s">
        <v>54</v>
      </c>
      <c r="F13" s="8" t="s">
        <v>55</v>
      </c>
      <c r="G13" s="8" t="s">
        <v>56</v>
      </c>
      <c r="I13" s="7" t="s">
        <v>263</v>
      </c>
    </row>
    <row r="14" spans="1:19" x14ac:dyDescent="0.25">
      <c r="A14" t="s">
        <v>62</v>
      </c>
      <c r="B14">
        <v>11.0944</v>
      </c>
      <c r="C14">
        <v>5.0323000000000002</v>
      </c>
      <c r="E14" t="s">
        <v>59</v>
      </c>
      <c r="F14">
        <v>4.3999999999999997E-2</v>
      </c>
      <c r="G14">
        <v>4.4000000000000004</v>
      </c>
      <c r="I14" t="s">
        <v>264</v>
      </c>
      <c r="J14">
        <v>50582.400000000001</v>
      </c>
      <c r="K14" t="s">
        <v>265</v>
      </c>
    </row>
    <row r="15" spans="1:19" x14ac:dyDescent="0.25">
      <c r="A15" t="s">
        <v>64</v>
      </c>
      <c r="B15">
        <v>2.4060000000000001</v>
      </c>
      <c r="C15">
        <v>1.0912999999999999</v>
      </c>
      <c r="E15" t="s">
        <v>61</v>
      </c>
      <c r="F15">
        <v>0.35399999999999998</v>
      </c>
      <c r="G15">
        <v>35.4</v>
      </c>
      <c r="I15" t="s">
        <v>266</v>
      </c>
      <c r="J15">
        <v>18285.419999999998</v>
      </c>
      <c r="K15" t="s">
        <v>267</v>
      </c>
    </row>
    <row r="16" spans="1:19" x14ac:dyDescent="0.25">
      <c r="A16" t="s">
        <v>67</v>
      </c>
      <c r="B16">
        <v>183.5249</v>
      </c>
      <c r="C16">
        <v>83.245500000000007</v>
      </c>
      <c r="E16" t="s">
        <v>63</v>
      </c>
      <c r="F16">
        <v>0.19633999999999999</v>
      </c>
      <c r="G16">
        <v>19.63</v>
      </c>
      <c r="I16" t="s">
        <v>268</v>
      </c>
      <c r="J16">
        <v>68867.820000000007</v>
      </c>
      <c r="K16" t="s">
        <v>269</v>
      </c>
    </row>
    <row r="17" spans="1:12" x14ac:dyDescent="0.25">
      <c r="A17" t="s">
        <v>80</v>
      </c>
      <c r="B17">
        <v>77.927899999999994</v>
      </c>
      <c r="C17">
        <v>35.347499999999997</v>
      </c>
      <c r="E17" t="s">
        <v>65</v>
      </c>
      <c r="F17">
        <v>0.40566000000000002</v>
      </c>
      <c r="G17">
        <v>40.57</v>
      </c>
      <c r="I17" t="s">
        <v>270</v>
      </c>
      <c r="J17">
        <v>108.67</v>
      </c>
      <c r="K17" t="s">
        <v>271</v>
      </c>
    </row>
    <row r="18" spans="1:12" x14ac:dyDescent="0.25">
      <c r="A18" t="s">
        <v>84</v>
      </c>
      <c r="B18">
        <v>0.40100000000000002</v>
      </c>
      <c r="C18">
        <v>0.18190000000000001</v>
      </c>
      <c r="E18" t="s">
        <v>68</v>
      </c>
      <c r="F18">
        <v>157.76</v>
      </c>
      <c r="I18" t="s">
        <v>272</v>
      </c>
      <c r="J18">
        <v>7.98</v>
      </c>
      <c r="K18" t="s">
        <v>273</v>
      </c>
    </row>
    <row r="19" spans="1:12" x14ac:dyDescent="0.25">
      <c r="A19" t="s">
        <v>86</v>
      </c>
      <c r="B19">
        <v>4.1436999999999999</v>
      </c>
      <c r="C19">
        <v>1.8794999999999999</v>
      </c>
      <c r="I19" t="s">
        <v>274</v>
      </c>
      <c r="J19">
        <v>4609.58</v>
      </c>
      <c r="K19" t="s">
        <v>269</v>
      </c>
    </row>
    <row r="20" spans="1:12" x14ac:dyDescent="0.25">
      <c r="A20" t="s">
        <v>89</v>
      </c>
      <c r="B20">
        <v>49.7241</v>
      </c>
      <c r="C20">
        <v>22.554500000000001</v>
      </c>
    </row>
    <row r="21" spans="1:12" x14ac:dyDescent="0.25">
      <c r="A21" t="s">
        <v>91</v>
      </c>
      <c r="B21">
        <v>8.9557000000000002</v>
      </c>
      <c r="C21">
        <v>4.0621999999999998</v>
      </c>
      <c r="I21" t="s">
        <v>275</v>
      </c>
    </row>
    <row r="22" spans="1:12" x14ac:dyDescent="0.25">
      <c r="A22" s="7" t="s">
        <v>93</v>
      </c>
      <c r="B22" s="7">
        <v>1336.67</v>
      </c>
      <c r="C22" s="7">
        <v>606.29999999999995</v>
      </c>
    </row>
    <row r="23" spans="1:12" x14ac:dyDescent="0.25">
      <c r="I23" t="s">
        <v>276</v>
      </c>
    </row>
    <row r="24" spans="1:12" x14ac:dyDescent="0.25">
      <c r="I24" t="s">
        <v>277</v>
      </c>
      <c r="J24">
        <f>SUM(ECPI_indicator!L5:L10)</f>
        <v>92.882436328157212</v>
      </c>
      <c r="K24" t="s">
        <v>21</v>
      </c>
      <c r="L24" t="s">
        <v>278</v>
      </c>
    </row>
    <row r="25" spans="1:12" x14ac:dyDescent="0.25">
      <c r="I25" t="s">
        <v>279</v>
      </c>
      <c r="J25">
        <f>SUM(ECPI_indicator!K5:K10)-SUM(ECPI_indicator!L5:L10)</f>
        <v>363.96818782510235</v>
      </c>
      <c r="K25" t="s">
        <v>21</v>
      </c>
      <c r="L25" t="s">
        <v>280</v>
      </c>
    </row>
    <row r="26" spans="1:12" x14ac:dyDescent="0.25">
      <c r="A26" s="7" t="s">
        <v>103</v>
      </c>
      <c r="I26" t="s">
        <v>281</v>
      </c>
      <c r="J26">
        <f>J24/(J24+J25)</f>
        <v>0.20331029754048879</v>
      </c>
      <c r="L26" t="s">
        <v>282</v>
      </c>
    </row>
    <row r="27" spans="1:12" x14ac:dyDescent="0.25">
      <c r="A27" s="10" t="s">
        <v>106</v>
      </c>
    </row>
    <row r="28" spans="1:12" x14ac:dyDescent="0.25">
      <c r="A28" s="10" t="s">
        <v>108</v>
      </c>
    </row>
    <row r="29" spans="1:12" x14ac:dyDescent="0.25">
      <c r="A29" s="10" t="s">
        <v>110</v>
      </c>
    </row>
    <row r="30" spans="1:12" x14ac:dyDescent="0.25">
      <c r="A30" s="10" t="s">
        <v>112</v>
      </c>
    </row>
    <row r="31" spans="1:12" x14ac:dyDescent="0.25">
      <c r="A31" s="10" t="s">
        <v>114</v>
      </c>
    </row>
    <row r="32" spans="1:12" x14ac:dyDescent="0.25">
      <c r="A32" s="10" t="s">
        <v>116</v>
      </c>
    </row>
    <row r="33" spans="1:6" x14ac:dyDescent="0.25">
      <c r="A33" s="10" t="s">
        <v>118</v>
      </c>
    </row>
    <row r="34" spans="1:6" x14ac:dyDescent="0.25">
      <c r="A34" s="10" t="s">
        <v>120</v>
      </c>
    </row>
    <row r="35" spans="1:6" x14ac:dyDescent="0.25">
      <c r="A35" t="s">
        <v>283</v>
      </c>
    </row>
    <row r="36" spans="1:6" x14ac:dyDescent="0.25">
      <c r="A36" t="s">
        <v>284</v>
      </c>
    </row>
    <row r="39" spans="1:6" x14ac:dyDescent="0.25">
      <c r="A39" s="16" t="s">
        <v>285</v>
      </c>
    </row>
    <row r="40" spans="1:6" x14ac:dyDescent="0.25">
      <c r="A40" s="16" t="s">
        <v>286</v>
      </c>
      <c r="B40" s="16" t="s">
        <v>287</v>
      </c>
      <c r="C40" s="16" t="s">
        <v>288</v>
      </c>
      <c r="D40" s="16" t="s">
        <v>289</v>
      </c>
      <c r="E40" s="16" t="s">
        <v>290</v>
      </c>
      <c r="F40" s="16" t="s">
        <v>291</v>
      </c>
    </row>
    <row r="41" spans="1:6" x14ac:dyDescent="0.25">
      <c r="A41" s="16" t="s">
        <v>292</v>
      </c>
    </row>
    <row r="42" spans="1:6" x14ac:dyDescent="0.25">
      <c r="A42" s="16" t="s">
        <v>293</v>
      </c>
      <c r="C42" s="16">
        <v>0.20330000000000001</v>
      </c>
      <c r="D42" t="s">
        <v>294</v>
      </c>
      <c r="F42" t="s">
        <v>295</v>
      </c>
    </row>
    <row r="43" spans="1:6" x14ac:dyDescent="0.25">
      <c r="B43" t="s">
        <v>277</v>
      </c>
      <c r="C43">
        <v>92.882435999999998</v>
      </c>
      <c r="D43" t="s">
        <v>21</v>
      </c>
      <c r="E43" t="s">
        <v>296</v>
      </c>
    </row>
    <row r="44" spans="1:6" x14ac:dyDescent="0.25">
      <c r="B44" t="s">
        <v>279</v>
      </c>
      <c r="C44">
        <v>363.968188</v>
      </c>
      <c r="D44" t="s">
        <v>21</v>
      </c>
      <c r="E44" t="s">
        <v>297</v>
      </c>
    </row>
    <row r="45" spans="1:6" x14ac:dyDescent="0.25">
      <c r="A45" s="16" t="s">
        <v>298</v>
      </c>
      <c r="C45" s="16">
        <v>0.39219999999999999</v>
      </c>
      <c r="D45" t="s">
        <v>294</v>
      </c>
      <c r="F45" t="s">
        <v>299</v>
      </c>
    </row>
    <row r="46" spans="1:6" x14ac:dyDescent="0.25">
      <c r="B46" t="s">
        <v>300</v>
      </c>
    </row>
    <row r="47" spans="1:6" x14ac:dyDescent="0.25">
      <c r="A47" s="16" t="s">
        <v>301</v>
      </c>
      <c r="C47" s="16">
        <v>0.70040000000000002</v>
      </c>
      <c r="D47" t="s">
        <v>294</v>
      </c>
      <c r="F47" t="s">
        <v>302</v>
      </c>
    </row>
    <row r="48" spans="1:6" x14ac:dyDescent="0.25">
      <c r="B48" t="s">
        <v>303</v>
      </c>
    </row>
    <row r="49" spans="1:6" x14ac:dyDescent="0.25">
      <c r="A49" s="16" t="s">
        <v>304</v>
      </c>
      <c r="C49" s="16">
        <v>0.69589999999999996</v>
      </c>
      <c r="D49" t="s">
        <v>294</v>
      </c>
      <c r="F49" t="s">
        <v>305</v>
      </c>
    </row>
    <row r="50" spans="1:6" x14ac:dyDescent="0.25">
      <c r="B50" t="s">
        <v>306</v>
      </c>
      <c r="C50">
        <v>51800</v>
      </c>
      <c r="E50" t="s">
        <v>307</v>
      </c>
    </row>
    <row r="51" spans="1:6" x14ac:dyDescent="0.25">
      <c r="B51" t="s">
        <v>308</v>
      </c>
      <c r="C51">
        <v>22640</v>
      </c>
      <c r="E51" t="s">
        <v>309</v>
      </c>
    </row>
    <row r="52" spans="1:6" x14ac:dyDescent="0.25">
      <c r="A52" s="16" t="s">
        <v>310</v>
      </c>
      <c r="C52" s="16">
        <v>0.2334</v>
      </c>
      <c r="D52" t="s">
        <v>294</v>
      </c>
      <c r="F52" t="s">
        <v>311</v>
      </c>
    </row>
    <row r="53" spans="1:6" x14ac:dyDescent="0.25">
      <c r="B53" t="s">
        <v>312</v>
      </c>
      <c r="C53">
        <v>1.24</v>
      </c>
      <c r="D53" t="s">
        <v>313</v>
      </c>
      <c r="E53" t="s">
        <v>314</v>
      </c>
    </row>
    <row r="54" spans="1:6" x14ac:dyDescent="0.25">
      <c r="B54" t="s">
        <v>315</v>
      </c>
      <c r="C54">
        <v>3.0495000000000001</v>
      </c>
      <c r="D54" t="s">
        <v>313</v>
      </c>
      <c r="E54" t="s">
        <v>316</v>
      </c>
    </row>
    <row r="55" spans="1:6" x14ac:dyDescent="0.25">
      <c r="B55" t="s">
        <v>317</v>
      </c>
      <c r="C55">
        <v>0.44</v>
      </c>
      <c r="D55" t="s">
        <v>313</v>
      </c>
      <c r="E55" t="s">
        <v>318</v>
      </c>
    </row>
    <row r="56" spans="1:6" x14ac:dyDescent="0.25">
      <c r="B56" t="s">
        <v>319</v>
      </c>
      <c r="C56">
        <v>20.329999999999998</v>
      </c>
      <c r="D56" t="s">
        <v>313</v>
      </c>
      <c r="E56" t="s">
        <v>320</v>
      </c>
    </row>
    <row r="57" spans="1:6" x14ac:dyDescent="0.25">
      <c r="A57" s="16" t="s">
        <v>321</v>
      </c>
      <c r="C57" s="16">
        <v>0.88349999999999995</v>
      </c>
      <c r="D57" t="s">
        <v>294</v>
      </c>
      <c r="F57" t="s">
        <v>322</v>
      </c>
    </row>
    <row r="58" spans="1:6" x14ac:dyDescent="0.25">
      <c r="B58" t="s">
        <v>323</v>
      </c>
      <c r="C58">
        <v>0.95</v>
      </c>
    </row>
    <row r="59" spans="1:6" x14ac:dyDescent="0.25">
      <c r="B59" t="s">
        <v>324</v>
      </c>
      <c r="C59">
        <v>0.93</v>
      </c>
    </row>
    <row r="60" spans="1:6" x14ac:dyDescent="0.25">
      <c r="A60" s="16" t="s">
        <v>325</v>
      </c>
      <c r="C60" s="16">
        <v>0.81</v>
      </c>
      <c r="D60" t="s">
        <v>294</v>
      </c>
      <c r="F60" t="s">
        <v>326</v>
      </c>
    </row>
    <row r="61" spans="1:6" x14ac:dyDescent="0.25">
      <c r="B61" t="s">
        <v>327</v>
      </c>
      <c r="C61">
        <v>10</v>
      </c>
      <c r="D61" t="s">
        <v>328</v>
      </c>
      <c r="E61" t="s">
        <v>329</v>
      </c>
    </row>
    <row r="62" spans="1:6" x14ac:dyDescent="0.25">
      <c r="B62" t="s">
        <v>330</v>
      </c>
      <c r="C62">
        <v>5</v>
      </c>
      <c r="D62" t="s">
        <v>328</v>
      </c>
      <c r="E62" t="s">
        <v>331</v>
      </c>
    </row>
    <row r="63" spans="1:6" x14ac:dyDescent="0.25">
      <c r="B63" t="s">
        <v>332</v>
      </c>
      <c r="C63">
        <v>15</v>
      </c>
      <c r="D63" t="s">
        <v>328</v>
      </c>
      <c r="E63" t="s">
        <v>333</v>
      </c>
    </row>
    <row r="64" spans="1:6" x14ac:dyDescent="0.25">
      <c r="B64" t="s">
        <v>334</v>
      </c>
      <c r="C64">
        <v>606.30359999999996</v>
      </c>
      <c r="D64" t="s">
        <v>328</v>
      </c>
      <c r="E64" t="s">
        <v>335</v>
      </c>
    </row>
    <row r="65" spans="1:6" x14ac:dyDescent="0.25">
      <c r="B65" t="s">
        <v>336</v>
      </c>
      <c r="C65">
        <v>0.19</v>
      </c>
    </row>
    <row r="66" spans="1:6" x14ac:dyDescent="0.25">
      <c r="A66" s="16" t="s">
        <v>337</v>
      </c>
      <c r="F66" t="s">
        <v>338</v>
      </c>
    </row>
    <row r="67" spans="1:6" x14ac:dyDescent="0.25">
      <c r="B67" t="s">
        <v>339</v>
      </c>
      <c r="C67">
        <v>0.21</v>
      </c>
    </row>
    <row r="68" spans="1:6" x14ac:dyDescent="0.25">
      <c r="B68" t="s">
        <v>340</v>
      </c>
      <c r="C68">
        <v>0.23</v>
      </c>
    </row>
    <row r="69" spans="1:6" x14ac:dyDescent="0.25">
      <c r="B69" t="s">
        <v>341</v>
      </c>
      <c r="C69">
        <v>0.17</v>
      </c>
    </row>
    <row r="70" spans="1:6" x14ac:dyDescent="0.25">
      <c r="B70" t="s">
        <v>342</v>
      </c>
      <c r="C70">
        <v>0.18</v>
      </c>
    </row>
    <row r="71" spans="1:6" x14ac:dyDescent="0.25">
      <c r="B71" t="s">
        <v>343</v>
      </c>
      <c r="C71">
        <v>0.2</v>
      </c>
    </row>
    <row r="72" spans="1:6" x14ac:dyDescent="0.25">
      <c r="A72" s="16" t="s">
        <v>344</v>
      </c>
      <c r="C72" s="16">
        <v>0.58489999999999998</v>
      </c>
      <c r="D72" t="s">
        <v>294</v>
      </c>
    </row>
    <row r="74" spans="1:6" x14ac:dyDescent="0.25">
      <c r="A74" s="16" t="s">
        <v>345</v>
      </c>
    </row>
    <row r="75" spans="1:6" x14ac:dyDescent="0.25">
      <c r="A75" s="16" t="s">
        <v>346</v>
      </c>
      <c r="C75" s="16">
        <v>1</v>
      </c>
      <c r="D75" t="s">
        <v>294</v>
      </c>
      <c r="F75" t="s">
        <v>347</v>
      </c>
    </row>
    <row r="76" spans="1:6" x14ac:dyDescent="0.25">
      <c r="B76" t="s">
        <v>348</v>
      </c>
      <c r="C76">
        <v>35.771304999999998</v>
      </c>
      <c r="D76" t="s">
        <v>21</v>
      </c>
      <c r="E76" t="s">
        <v>349</v>
      </c>
    </row>
    <row r="77" spans="1:6" x14ac:dyDescent="0.25">
      <c r="B77" t="s">
        <v>350</v>
      </c>
      <c r="C77">
        <v>424.41250300000002</v>
      </c>
      <c r="D77" t="s">
        <v>21</v>
      </c>
      <c r="E77" t="s">
        <v>351</v>
      </c>
    </row>
    <row r="78" spans="1:6" x14ac:dyDescent="0.25">
      <c r="B78" t="s">
        <v>352</v>
      </c>
      <c r="C78">
        <v>606.30357600000002</v>
      </c>
      <c r="D78" t="s">
        <v>21</v>
      </c>
      <c r="E78" t="s">
        <v>353</v>
      </c>
    </row>
    <row r="79" spans="1:6" x14ac:dyDescent="0.25">
      <c r="A79" s="16" t="s">
        <v>354</v>
      </c>
      <c r="C79" s="16">
        <v>1.1900000000000001E-2</v>
      </c>
      <c r="D79" t="s">
        <v>294</v>
      </c>
      <c r="F79" t="s">
        <v>355</v>
      </c>
    </row>
    <row r="80" spans="1:6" x14ac:dyDescent="0.25">
      <c r="B80" t="s">
        <v>356</v>
      </c>
      <c r="C80">
        <v>12.126072000000001</v>
      </c>
      <c r="D80" t="s">
        <v>328</v>
      </c>
      <c r="E80" t="s">
        <v>357</v>
      </c>
    </row>
    <row r="81" spans="1:6" x14ac:dyDescent="0.25">
      <c r="B81" t="s">
        <v>358</v>
      </c>
      <c r="C81">
        <v>0</v>
      </c>
      <c r="D81" t="s">
        <v>359</v>
      </c>
      <c r="E81" t="s">
        <v>360</v>
      </c>
    </row>
    <row r="82" spans="1:6" x14ac:dyDescent="0.25">
      <c r="B82" t="s">
        <v>361</v>
      </c>
      <c r="C82">
        <v>0.1</v>
      </c>
      <c r="D82" t="s">
        <v>359</v>
      </c>
      <c r="E82" t="s">
        <v>362</v>
      </c>
    </row>
    <row r="83" spans="1:6" x14ac:dyDescent="0.25">
      <c r="B83" t="s">
        <v>363</v>
      </c>
      <c r="C83">
        <v>0</v>
      </c>
      <c r="D83" t="s">
        <v>359</v>
      </c>
      <c r="E83" t="s">
        <v>364</v>
      </c>
    </row>
    <row r="84" spans="1:6" x14ac:dyDescent="0.25">
      <c r="B84" t="s">
        <v>365</v>
      </c>
      <c r="C84">
        <v>0.1</v>
      </c>
      <c r="D84" t="s">
        <v>359</v>
      </c>
      <c r="E84" t="s">
        <v>366</v>
      </c>
    </row>
    <row r="85" spans="1:6" x14ac:dyDescent="0.25">
      <c r="B85" t="s">
        <v>367</v>
      </c>
      <c r="C85">
        <v>606.30357600000002</v>
      </c>
      <c r="D85" t="s">
        <v>328</v>
      </c>
      <c r="E85" t="s">
        <v>368</v>
      </c>
    </row>
    <row r="86" spans="1:6" x14ac:dyDescent="0.25">
      <c r="B86" t="s">
        <v>369</v>
      </c>
      <c r="C86">
        <v>402.94720000000001</v>
      </c>
      <c r="D86" t="s">
        <v>328</v>
      </c>
      <c r="E86" t="s">
        <v>370</v>
      </c>
    </row>
    <row r="87" spans="1:6" x14ac:dyDescent="0.25">
      <c r="A87" s="16" t="s">
        <v>371</v>
      </c>
      <c r="C87" s="16">
        <v>0.24460000000000001</v>
      </c>
      <c r="D87" t="s">
        <v>294</v>
      </c>
      <c r="F87" t="s">
        <v>372</v>
      </c>
    </row>
    <row r="88" spans="1:6" x14ac:dyDescent="0.25">
      <c r="B88" t="s">
        <v>373</v>
      </c>
      <c r="C88">
        <v>0.1</v>
      </c>
      <c r="D88" t="s">
        <v>359</v>
      </c>
      <c r="E88" t="s">
        <v>374</v>
      </c>
    </row>
    <row r="89" spans="1:6" x14ac:dyDescent="0.25">
      <c r="B89" t="s">
        <v>375</v>
      </c>
      <c r="C89">
        <v>0.4</v>
      </c>
      <c r="D89" t="s">
        <v>359</v>
      </c>
      <c r="E89" t="s">
        <v>376</v>
      </c>
    </row>
    <row r="90" spans="1:6" x14ac:dyDescent="0.25">
      <c r="B90" t="s">
        <v>377</v>
      </c>
      <c r="C90">
        <v>0.8</v>
      </c>
      <c r="D90" t="s">
        <v>359</v>
      </c>
      <c r="E90" t="s">
        <v>378</v>
      </c>
    </row>
    <row r="91" spans="1:6" x14ac:dyDescent="0.25">
      <c r="B91" t="s">
        <v>379</v>
      </c>
      <c r="C91">
        <v>5</v>
      </c>
      <c r="D91" t="s">
        <v>380</v>
      </c>
      <c r="E91" t="s">
        <v>381</v>
      </c>
    </row>
    <row r="92" spans="1:6" x14ac:dyDescent="0.25">
      <c r="B92" t="s">
        <v>382</v>
      </c>
      <c r="C92">
        <v>5</v>
      </c>
      <c r="D92" t="s">
        <v>380</v>
      </c>
      <c r="E92" t="s">
        <v>383</v>
      </c>
    </row>
    <row r="93" spans="1:6" x14ac:dyDescent="0.25">
      <c r="B93" t="s">
        <v>384</v>
      </c>
      <c r="C93">
        <v>5</v>
      </c>
      <c r="D93" t="s">
        <v>380</v>
      </c>
      <c r="E93" t="s">
        <v>385</v>
      </c>
    </row>
    <row r="94" spans="1:6" x14ac:dyDescent="0.25">
      <c r="B94" t="s">
        <v>386</v>
      </c>
      <c r="C94">
        <v>20.008018</v>
      </c>
      <c r="D94" t="s">
        <v>328</v>
      </c>
      <c r="E94" t="s">
        <v>387</v>
      </c>
    </row>
    <row r="95" spans="1:6" x14ac:dyDescent="0.25">
      <c r="B95" t="s">
        <v>388</v>
      </c>
      <c r="C95">
        <v>20.008018</v>
      </c>
      <c r="D95" t="s">
        <v>328</v>
      </c>
      <c r="E95" t="s">
        <v>387</v>
      </c>
    </row>
    <row r="96" spans="1:6" x14ac:dyDescent="0.25">
      <c r="B96" t="s">
        <v>389</v>
      </c>
      <c r="C96">
        <v>20.008018</v>
      </c>
      <c r="D96" t="s">
        <v>328</v>
      </c>
      <c r="E96" t="s">
        <v>387</v>
      </c>
    </row>
    <row r="97" spans="1:6" x14ac:dyDescent="0.25">
      <c r="B97" t="s">
        <v>390</v>
      </c>
      <c r="C97">
        <v>606.30357600000002</v>
      </c>
      <c r="D97" t="s">
        <v>328</v>
      </c>
      <c r="E97" t="s">
        <v>391</v>
      </c>
    </row>
    <row r="98" spans="1:6" x14ac:dyDescent="0.25">
      <c r="A98" s="16" t="s">
        <v>392</v>
      </c>
      <c r="C98" s="16">
        <v>1</v>
      </c>
      <c r="D98" t="s">
        <v>294</v>
      </c>
      <c r="F98" t="s">
        <v>393</v>
      </c>
    </row>
    <row r="99" spans="1:6" x14ac:dyDescent="0.25">
      <c r="B99" t="s">
        <v>394</v>
      </c>
      <c r="C99">
        <v>0.59813700000000003</v>
      </c>
      <c r="D99" t="s">
        <v>359</v>
      </c>
      <c r="E99" t="s">
        <v>395</v>
      </c>
    </row>
    <row r="100" spans="1:6" x14ac:dyDescent="0.25">
      <c r="B100" t="s">
        <v>396</v>
      </c>
      <c r="C100">
        <v>1</v>
      </c>
      <c r="D100" t="s">
        <v>397</v>
      </c>
      <c r="E100" t="s">
        <v>398</v>
      </c>
    </row>
    <row r="101" spans="1:6" x14ac:dyDescent="0.25">
      <c r="B101" t="s">
        <v>399</v>
      </c>
      <c r="C101">
        <v>1</v>
      </c>
      <c r="D101" t="s">
        <v>397</v>
      </c>
      <c r="E101" t="s">
        <v>400</v>
      </c>
    </row>
    <row r="102" spans="1:6" x14ac:dyDescent="0.25">
      <c r="B102" t="s">
        <v>401</v>
      </c>
      <c r="C102">
        <v>5</v>
      </c>
      <c r="D102" t="s">
        <v>397</v>
      </c>
      <c r="E102" t="s">
        <v>402</v>
      </c>
    </row>
    <row r="103" spans="1:6" x14ac:dyDescent="0.25">
      <c r="B103" t="s">
        <v>403</v>
      </c>
      <c r="C103">
        <v>1</v>
      </c>
      <c r="D103" t="s">
        <v>397</v>
      </c>
      <c r="E103" t="s">
        <v>404</v>
      </c>
    </row>
    <row r="104" spans="1:6" x14ac:dyDescent="0.25">
      <c r="B104" t="s">
        <v>405</v>
      </c>
      <c r="C104">
        <v>5</v>
      </c>
      <c r="D104" t="s">
        <v>397</v>
      </c>
      <c r="E104" t="s">
        <v>406</v>
      </c>
    </row>
    <row r="105" spans="1:6" x14ac:dyDescent="0.25">
      <c r="B105" t="s">
        <v>407</v>
      </c>
      <c r="C105">
        <v>5</v>
      </c>
      <c r="D105" t="s">
        <v>397</v>
      </c>
      <c r="E105" t="s">
        <v>408</v>
      </c>
    </row>
    <row r="106" spans="1:6" x14ac:dyDescent="0.25">
      <c r="B106" t="s">
        <v>409</v>
      </c>
      <c r="C106">
        <v>5</v>
      </c>
      <c r="D106" t="s">
        <v>397</v>
      </c>
      <c r="E106" t="s">
        <v>410</v>
      </c>
    </row>
    <row r="107" spans="1:6" x14ac:dyDescent="0.25">
      <c r="B107" t="s">
        <v>411</v>
      </c>
      <c r="C107">
        <v>5</v>
      </c>
      <c r="D107" t="s">
        <v>397</v>
      </c>
      <c r="E107" t="s">
        <v>412</v>
      </c>
    </row>
    <row r="108" spans="1:6" x14ac:dyDescent="0.25">
      <c r="B108" t="s">
        <v>413</v>
      </c>
      <c r="C108">
        <v>1</v>
      </c>
      <c r="D108" t="s">
        <v>397</v>
      </c>
      <c r="E108" t="s">
        <v>414</v>
      </c>
    </row>
    <row r="109" spans="1:6" x14ac:dyDescent="0.25">
      <c r="A109" s="16" t="s">
        <v>415</v>
      </c>
      <c r="F109" t="s">
        <v>338</v>
      </c>
    </row>
    <row r="110" spans="1:6" x14ac:dyDescent="0.25">
      <c r="B110" t="s">
        <v>416</v>
      </c>
      <c r="C110">
        <v>0.27</v>
      </c>
    </row>
    <row r="111" spans="1:6" x14ac:dyDescent="0.25">
      <c r="B111" t="s">
        <v>417</v>
      </c>
      <c r="C111">
        <v>0.21</v>
      </c>
    </row>
    <row r="112" spans="1:6" x14ac:dyDescent="0.25">
      <c r="B112" t="s">
        <v>418</v>
      </c>
      <c r="C112">
        <v>0.23</v>
      </c>
    </row>
    <row r="113" spans="1:6" x14ac:dyDescent="0.25">
      <c r="B113" t="s">
        <v>419</v>
      </c>
      <c r="C113">
        <v>0.28999999999999998</v>
      </c>
    </row>
    <row r="114" spans="1:6" x14ac:dyDescent="0.25">
      <c r="A114" s="16" t="s">
        <v>420</v>
      </c>
      <c r="C114" s="16">
        <v>0.61880000000000002</v>
      </c>
      <c r="D114" t="s">
        <v>294</v>
      </c>
    </row>
    <row r="116" spans="1:6" x14ac:dyDescent="0.25">
      <c r="A116" s="16" t="s">
        <v>421</v>
      </c>
    </row>
    <row r="117" spans="1:6" x14ac:dyDescent="0.25">
      <c r="A117" s="16" t="s">
        <v>422</v>
      </c>
      <c r="C117" s="16">
        <v>0.19839999999999999</v>
      </c>
      <c r="D117" t="s">
        <v>294</v>
      </c>
      <c r="F117" t="s">
        <v>423</v>
      </c>
    </row>
    <row r="118" spans="1:6" x14ac:dyDescent="0.25">
      <c r="B118" t="s">
        <v>424</v>
      </c>
      <c r="C118">
        <v>0.313973</v>
      </c>
      <c r="D118" t="s">
        <v>359</v>
      </c>
      <c r="E118" t="s">
        <v>425</v>
      </c>
    </row>
    <row r="119" spans="1:6" x14ac:dyDescent="0.25">
      <c r="B119" t="s">
        <v>426</v>
      </c>
      <c r="C119">
        <v>0.62794700000000003</v>
      </c>
      <c r="D119" t="s">
        <v>359</v>
      </c>
      <c r="E119" t="s">
        <v>427</v>
      </c>
    </row>
    <row r="120" spans="1:6" x14ac:dyDescent="0.25">
      <c r="B120" t="s">
        <v>428</v>
      </c>
      <c r="C120">
        <v>1.736E-2</v>
      </c>
      <c r="D120" t="s">
        <v>359</v>
      </c>
      <c r="E120" t="s">
        <v>429</v>
      </c>
    </row>
    <row r="121" spans="1:6" x14ac:dyDescent="0.25">
      <c r="B121" t="s">
        <v>430</v>
      </c>
      <c r="C121">
        <v>4.0719999999999999E-2</v>
      </c>
      <c r="D121" t="s">
        <v>359</v>
      </c>
      <c r="E121" t="s">
        <v>431</v>
      </c>
    </row>
    <row r="122" spans="1:6" x14ac:dyDescent="0.25">
      <c r="B122" t="s">
        <v>432</v>
      </c>
      <c r="C122">
        <v>0.2</v>
      </c>
      <c r="D122" t="s">
        <v>433</v>
      </c>
      <c r="E122" t="s">
        <v>434</v>
      </c>
    </row>
    <row r="123" spans="1:6" x14ac:dyDescent="0.25">
      <c r="B123" t="s">
        <v>435</v>
      </c>
      <c r="C123">
        <v>0.2</v>
      </c>
      <c r="D123" t="s">
        <v>433</v>
      </c>
      <c r="E123" t="s">
        <v>436</v>
      </c>
    </row>
    <row r="124" spans="1:6" x14ac:dyDescent="0.25">
      <c r="B124" t="s">
        <v>437</v>
      </c>
      <c r="C124">
        <v>0.105</v>
      </c>
      <c r="D124" t="s">
        <v>433</v>
      </c>
      <c r="E124" t="s">
        <v>438</v>
      </c>
    </row>
    <row r="125" spans="1:6" x14ac:dyDescent="0.25">
      <c r="B125" t="s">
        <v>439</v>
      </c>
      <c r="C125">
        <v>0.2</v>
      </c>
      <c r="D125" t="s">
        <v>433</v>
      </c>
      <c r="E125" t="s">
        <v>440</v>
      </c>
    </row>
    <row r="126" spans="1:6" x14ac:dyDescent="0.25">
      <c r="A126" s="16" t="s">
        <v>441</v>
      </c>
      <c r="C126" s="16">
        <v>0.50280000000000002</v>
      </c>
      <c r="D126" t="s">
        <v>294</v>
      </c>
      <c r="F126" t="s">
        <v>442</v>
      </c>
    </row>
    <row r="127" spans="1:6" x14ac:dyDescent="0.25">
      <c r="B127" t="s">
        <v>443</v>
      </c>
      <c r="C127">
        <v>0.15</v>
      </c>
      <c r="D127" t="s">
        <v>359</v>
      </c>
      <c r="E127" t="s">
        <v>444</v>
      </c>
    </row>
    <row r="128" spans="1:6" x14ac:dyDescent="0.25">
      <c r="B128" t="s">
        <v>445</v>
      </c>
      <c r="C128">
        <v>0.15</v>
      </c>
      <c r="D128" t="s">
        <v>359</v>
      </c>
      <c r="E128" t="s">
        <v>446</v>
      </c>
    </row>
    <row r="129" spans="1:6" x14ac:dyDescent="0.25">
      <c r="B129" t="s">
        <v>447</v>
      </c>
      <c r="C129">
        <v>0.35</v>
      </c>
      <c r="D129" t="s">
        <v>359</v>
      </c>
      <c r="E129" t="s">
        <v>448</v>
      </c>
    </row>
    <row r="130" spans="1:6" x14ac:dyDescent="0.25">
      <c r="B130" t="s">
        <v>449</v>
      </c>
      <c r="C130">
        <v>0.35</v>
      </c>
      <c r="D130" t="s">
        <v>359</v>
      </c>
      <c r="E130" t="s">
        <v>450</v>
      </c>
    </row>
    <row r="131" spans="1:6" x14ac:dyDescent="0.25">
      <c r="B131" t="s">
        <v>451</v>
      </c>
      <c r="C131">
        <v>-3.6999999999999998E-2</v>
      </c>
      <c r="D131" t="s">
        <v>452</v>
      </c>
      <c r="E131" t="s">
        <v>453</v>
      </c>
    </row>
    <row r="132" spans="1:6" x14ac:dyDescent="0.25">
      <c r="B132" t="s">
        <v>454</v>
      </c>
      <c r="C132">
        <v>-3.5999999999999997E-2</v>
      </c>
      <c r="D132" t="s">
        <v>452</v>
      </c>
      <c r="E132" t="s">
        <v>455</v>
      </c>
    </row>
    <row r="133" spans="1:6" x14ac:dyDescent="0.25">
      <c r="B133" t="s">
        <v>456</v>
      </c>
      <c r="C133">
        <v>0</v>
      </c>
      <c r="D133" t="s">
        <v>452</v>
      </c>
      <c r="E133" t="s">
        <v>457</v>
      </c>
    </row>
    <row r="134" spans="1:6" x14ac:dyDescent="0.25">
      <c r="B134" t="s">
        <v>458</v>
      </c>
      <c r="C134">
        <v>0</v>
      </c>
      <c r="D134" t="s">
        <v>452</v>
      </c>
      <c r="E134" t="s">
        <v>459</v>
      </c>
    </row>
    <row r="135" spans="1:6" x14ac:dyDescent="0.25">
      <c r="A135" s="16" t="s">
        <v>460</v>
      </c>
      <c r="C135" s="16">
        <v>0.97719999999999996</v>
      </c>
      <c r="D135" t="s">
        <v>294</v>
      </c>
      <c r="F135" t="s">
        <v>461</v>
      </c>
    </row>
    <row r="136" spans="1:6" x14ac:dyDescent="0.25">
      <c r="B136" t="s">
        <v>462</v>
      </c>
      <c r="C136">
        <v>0</v>
      </c>
      <c r="D136" t="s">
        <v>433</v>
      </c>
      <c r="E136" t="s">
        <v>463</v>
      </c>
    </row>
    <row r="137" spans="1:6" x14ac:dyDescent="0.25">
      <c r="B137" t="s">
        <v>464</v>
      </c>
      <c r="C137">
        <v>50582.404799999997</v>
      </c>
      <c r="D137" t="s">
        <v>433</v>
      </c>
      <c r="E137" t="s">
        <v>465</v>
      </c>
    </row>
    <row r="138" spans="1:6" x14ac:dyDescent="0.25">
      <c r="B138" t="s">
        <v>466</v>
      </c>
      <c r="C138">
        <v>18285.415700000001</v>
      </c>
      <c r="D138" t="s">
        <v>433</v>
      </c>
      <c r="E138" t="s">
        <v>467</v>
      </c>
    </row>
    <row r="139" spans="1:6" x14ac:dyDescent="0.25">
      <c r="B139" t="s">
        <v>468</v>
      </c>
      <c r="C139">
        <v>1269.2475999999999</v>
      </c>
      <c r="D139" t="s">
        <v>433</v>
      </c>
      <c r="E139" t="s">
        <v>469</v>
      </c>
    </row>
    <row r="140" spans="1:6" x14ac:dyDescent="0.25">
      <c r="B140" t="s">
        <v>470</v>
      </c>
      <c r="C140">
        <v>0</v>
      </c>
      <c r="D140" t="s">
        <v>433</v>
      </c>
      <c r="E140" t="s">
        <v>471</v>
      </c>
    </row>
    <row r="141" spans="1:6" x14ac:dyDescent="0.25">
      <c r="B141" t="s">
        <v>472</v>
      </c>
      <c r="C141">
        <v>1269.2475999999999</v>
      </c>
      <c r="D141" t="s">
        <v>433</v>
      </c>
      <c r="E141" t="s">
        <v>473</v>
      </c>
    </row>
    <row r="142" spans="1:6" x14ac:dyDescent="0.25">
      <c r="B142" t="s">
        <v>474</v>
      </c>
      <c r="C142">
        <v>1430.1819</v>
      </c>
      <c r="D142" t="s">
        <v>433</v>
      </c>
      <c r="E142" t="s">
        <v>475</v>
      </c>
    </row>
    <row r="143" spans="1:6" x14ac:dyDescent="0.25">
      <c r="B143" t="s">
        <v>476</v>
      </c>
      <c r="C143">
        <v>1547.0552</v>
      </c>
      <c r="D143" t="s">
        <v>433</v>
      </c>
      <c r="E143" t="s">
        <v>477</v>
      </c>
    </row>
    <row r="144" spans="1:6" x14ac:dyDescent="0.25">
      <c r="B144" t="s">
        <v>478</v>
      </c>
      <c r="C144">
        <v>0</v>
      </c>
      <c r="D144" t="s">
        <v>433</v>
      </c>
      <c r="E144" t="s">
        <v>479</v>
      </c>
    </row>
    <row r="145" spans="1:6" x14ac:dyDescent="0.25">
      <c r="B145" t="s">
        <v>480</v>
      </c>
      <c r="C145">
        <v>2977.2370999999998</v>
      </c>
      <c r="D145" t="s">
        <v>433</v>
      </c>
      <c r="E145" t="s">
        <v>481</v>
      </c>
    </row>
    <row r="146" spans="1:6" x14ac:dyDescent="0.25">
      <c r="B146" t="s">
        <v>482</v>
      </c>
      <c r="C146">
        <v>0.57999999999999996</v>
      </c>
      <c r="D146" t="s">
        <v>359</v>
      </c>
      <c r="E146" t="s">
        <v>483</v>
      </c>
    </row>
    <row r="147" spans="1:6" x14ac:dyDescent="0.25">
      <c r="B147" t="s">
        <v>484</v>
      </c>
      <c r="C147">
        <v>0.59813700000000003</v>
      </c>
      <c r="D147" t="s">
        <v>359</v>
      </c>
      <c r="E147" t="s">
        <v>485</v>
      </c>
    </row>
    <row r="148" spans="1:6" x14ac:dyDescent="0.25">
      <c r="B148" t="s">
        <v>486</v>
      </c>
      <c r="C148">
        <v>0.1</v>
      </c>
      <c r="D148" t="s">
        <v>359</v>
      </c>
      <c r="E148" t="s">
        <v>487</v>
      </c>
    </row>
    <row r="149" spans="1:6" x14ac:dyDescent="0.25">
      <c r="B149" t="s">
        <v>488</v>
      </c>
      <c r="C149">
        <v>5</v>
      </c>
      <c r="D149" t="s">
        <v>380</v>
      </c>
      <c r="E149" t="s">
        <v>489</v>
      </c>
    </row>
    <row r="150" spans="1:6" x14ac:dyDescent="0.25">
      <c r="B150" t="s">
        <v>490</v>
      </c>
      <c r="C150">
        <v>12</v>
      </c>
      <c r="D150" t="s">
        <v>380</v>
      </c>
      <c r="E150" t="s">
        <v>491</v>
      </c>
    </row>
    <row r="151" spans="1:6" x14ac:dyDescent="0.25">
      <c r="A151" s="16" t="s">
        <v>492</v>
      </c>
      <c r="C151" s="16">
        <v>0.96899999999999997</v>
      </c>
      <c r="D151" t="s">
        <v>294</v>
      </c>
      <c r="F151" t="s">
        <v>493</v>
      </c>
    </row>
    <row r="152" spans="1:6" x14ac:dyDescent="0.25">
      <c r="B152" t="s">
        <v>494</v>
      </c>
      <c r="C152">
        <v>15877.44</v>
      </c>
      <c r="D152" t="s">
        <v>495</v>
      </c>
      <c r="E152" t="s">
        <v>496</v>
      </c>
    </row>
    <row r="153" spans="1:6" x14ac:dyDescent="0.25">
      <c r="B153" t="s">
        <v>497</v>
      </c>
      <c r="C153">
        <v>2599.8147370000002</v>
      </c>
      <c r="D153" t="s">
        <v>495</v>
      </c>
      <c r="E153" t="s">
        <v>498</v>
      </c>
    </row>
    <row r="154" spans="1:6" x14ac:dyDescent="0.25">
      <c r="B154" t="s">
        <v>499</v>
      </c>
      <c r="C154">
        <v>0.2</v>
      </c>
      <c r="D154" t="s">
        <v>500</v>
      </c>
      <c r="E154" t="s">
        <v>501</v>
      </c>
    </row>
    <row r="155" spans="1:6" x14ac:dyDescent="0.25">
      <c r="B155" t="s">
        <v>502</v>
      </c>
      <c r="C155">
        <v>12</v>
      </c>
      <c r="D155" t="s">
        <v>380</v>
      </c>
      <c r="E155" t="s">
        <v>503</v>
      </c>
    </row>
    <row r="156" spans="1:6" x14ac:dyDescent="0.25">
      <c r="B156" t="s">
        <v>504</v>
      </c>
      <c r="C156">
        <v>7</v>
      </c>
      <c r="D156" t="s">
        <v>380</v>
      </c>
      <c r="E156" t="s">
        <v>505</v>
      </c>
    </row>
    <row r="157" spans="1:6" x14ac:dyDescent="0.25">
      <c r="B157" t="s">
        <v>506</v>
      </c>
      <c r="C157">
        <v>1</v>
      </c>
      <c r="D157" t="s">
        <v>359</v>
      </c>
      <c r="E157" t="s">
        <v>507</v>
      </c>
    </row>
    <row r="158" spans="1:6" x14ac:dyDescent="0.25">
      <c r="B158" t="s">
        <v>508</v>
      </c>
      <c r="C158">
        <v>0.1</v>
      </c>
      <c r="D158" t="s">
        <v>359</v>
      </c>
      <c r="E158" t="s">
        <v>509</v>
      </c>
    </row>
    <row r="159" spans="1:6" x14ac:dyDescent="0.25">
      <c r="B159" t="s">
        <v>510</v>
      </c>
      <c r="C159">
        <v>0.8</v>
      </c>
      <c r="D159" t="s">
        <v>452</v>
      </c>
      <c r="E159" t="s">
        <v>511</v>
      </c>
    </row>
    <row r="160" spans="1:6" x14ac:dyDescent="0.25">
      <c r="B160" t="s">
        <v>512</v>
      </c>
      <c r="C160">
        <v>0.5</v>
      </c>
      <c r="D160" t="s">
        <v>452</v>
      </c>
      <c r="E160" t="s">
        <v>513</v>
      </c>
    </row>
    <row r="161" spans="1:6" x14ac:dyDescent="0.25">
      <c r="B161" t="s">
        <v>514</v>
      </c>
      <c r="C161">
        <v>68867.820600000006</v>
      </c>
      <c r="D161" t="s">
        <v>495</v>
      </c>
      <c r="E161" t="s">
        <v>515</v>
      </c>
    </row>
    <row r="162" spans="1:6" x14ac:dyDescent="0.25">
      <c r="B162" t="s">
        <v>516</v>
      </c>
      <c r="C162">
        <v>1269.2475999999999</v>
      </c>
      <c r="D162" t="s">
        <v>495</v>
      </c>
      <c r="E162" t="s">
        <v>517</v>
      </c>
    </row>
    <row r="163" spans="1:6" x14ac:dyDescent="0.25">
      <c r="B163" t="s">
        <v>518</v>
      </c>
      <c r="C163">
        <v>0.55000000000000004</v>
      </c>
      <c r="D163" t="s">
        <v>495</v>
      </c>
      <c r="E163" t="s">
        <v>519</v>
      </c>
    </row>
    <row r="164" spans="1:6" x14ac:dyDescent="0.25">
      <c r="B164" t="s">
        <v>520</v>
      </c>
      <c r="C164">
        <v>0.35</v>
      </c>
      <c r="D164" t="s">
        <v>495</v>
      </c>
      <c r="E164" t="s">
        <v>521</v>
      </c>
    </row>
    <row r="165" spans="1:6" x14ac:dyDescent="0.25">
      <c r="B165" t="s">
        <v>522</v>
      </c>
      <c r="C165">
        <v>1</v>
      </c>
      <c r="D165" t="s">
        <v>495</v>
      </c>
      <c r="E165" t="s">
        <v>523</v>
      </c>
    </row>
    <row r="166" spans="1:6" x14ac:dyDescent="0.25">
      <c r="B166" t="s">
        <v>524</v>
      </c>
      <c r="C166">
        <v>0.95</v>
      </c>
      <c r="D166" t="s">
        <v>359</v>
      </c>
      <c r="E166" t="s">
        <v>525</v>
      </c>
    </row>
    <row r="167" spans="1:6" x14ac:dyDescent="0.25">
      <c r="B167" t="s">
        <v>526</v>
      </c>
      <c r="C167">
        <v>2.71</v>
      </c>
      <c r="D167" t="s">
        <v>359</v>
      </c>
      <c r="E167" t="s">
        <v>527</v>
      </c>
    </row>
    <row r="168" spans="1:6" x14ac:dyDescent="0.25">
      <c r="B168" t="s">
        <v>528</v>
      </c>
      <c r="C168">
        <v>0.88</v>
      </c>
      <c r="D168" t="s">
        <v>359</v>
      </c>
      <c r="E168" t="s">
        <v>529</v>
      </c>
    </row>
    <row r="169" spans="1:6" x14ac:dyDescent="0.25">
      <c r="B169" t="s">
        <v>530</v>
      </c>
      <c r="C169">
        <v>2.5099999999999998</v>
      </c>
      <c r="D169" t="s">
        <v>452</v>
      </c>
      <c r="E169" t="s">
        <v>531</v>
      </c>
    </row>
    <row r="170" spans="1:6" x14ac:dyDescent="0.25">
      <c r="A170" s="16" t="s">
        <v>532</v>
      </c>
      <c r="F170" t="s">
        <v>338</v>
      </c>
    </row>
    <row r="171" spans="1:6" x14ac:dyDescent="0.25">
      <c r="B171" t="s">
        <v>533</v>
      </c>
      <c r="C171">
        <v>0.27</v>
      </c>
    </row>
    <row r="172" spans="1:6" x14ac:dyDescent="0.25">
      <c r="B172" t="s">
        <v>534</v>
      </c>
      <c r="C172">
        <v>0.24</v>
      </c>
    </row>
    <row r="173" spans="1:6" x14ac:dyDescent="0.25">
      <c r="B173" t="s">
        <v>535</v>
      </c>
      <c r="C173">
        <v>0.23</v>
      </c>
    </row>
    <row r="174" spans="1:6" x14ac:dyDescent="0.25">
      <c r="B174" t="s">
        <v>536</v>
      </c>
      <c r="C174">
        <v>0.26</v>
      </c>
    </row>
    <row r="175" spans="1:6" x14ac:dyDescent="0.25">
      <c r="A175" s="16" t="s">
        <v>537</v>
      </c>
      <c r="C175" s="16">
        <v>0.65090000000000003</v>
      </c>
      <c r="D175" t="s">
        <v>294</v>
      </c>
    </row>
    <row r="177" spans="1:4" x14ac:dyDescent="0.25">
      <c r="A177" s="16" t="s">
        <v>538</v>
      </c>
    </row>
    <row r="178" spans="1:4" x14ac:dyDescent="0.25">
      <c r="A178" t="s">
        <v>539</v>
      </c>
      <c r="C178" s="16">
        <v>0.58489999999999998</v>
      </c>
      <c r="D178" t="s">
        <v>294</v>
      </c>
    </row>
    <row r="179" spans="1:4" x14ac:dyDescent="0.25">
      <c r="A179" t="s">
        <v>540</v>
      </c>
      <c r="C179" s="16">
        <v>0.61880000000000002</v>
      </c>
      <c r="D179" t="s">
        <v>294</v>
      </c>
    </row>
    <row r="180" spans="1:4" x14ac:dyDescent="0.25">
      <c r="A180" t="s">
        <v>541</v>
      </c>
      <c r="C180" s="16">
        <v>0.65090000000000003</v>
      </c>
      <c r="D180" t="s">
        <v>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5" x14ac:dyDescent="0.25"/>
  <cols>
    <col min="1" max="1" width="10" customWidth="1"/>
    <col min="2" max="3" width="18" customWidth="1"/>
    <col min="4" max="4" width="12" customWidth="1"/>
    <col min="5" max="5" width="72" customWidth="1"/>
  </cols>
  <sheetData>
    <row r="1" spans="1:5" x14ac:dyDescent="0.25">
      <c r="A1" s="7" t="s">
        <v>542</v>
      </c>
    </row>
    <row r="2" spans="1:5" x14ac:dyDescent="0.25">
      <c r="A2" s="11" t="s">
        <v>286</v>
      </c>
      <c r="B2" s="11" t="s">
        <v>543</v>
      </c>
      <c r="C2" s="11" t="s">
        <v>544</v>
      </c>
      <c r="D2" s="11" t="s">
        <v>545</v>
      </c>
      <c r="E2" s="11" t="s">
        <v>546</v>
      </c>
    </row>
    <row r="3" spans="1:5" x14ac:dyDescent="0.25">
      <c r="A3" t="s">
        <v>547</v>
      </c>
      <c r="B3">
        <v>0.4088</v>
      </c>
      <c r="C3">
        <v>0.40970000000000001</v>
      </c>
      <c r="D3">
        <v>-8.9999999999999998E-4</v>
      </c>
      <c r="E3" t="s">
        <v>548</v>
      </c>
    </row>
    <row r="4" spans="1:5" x14ac:dyDescent="0.25">
      <c r="A4" s="12" t="s">
        <v>549</v>
      </c>
      <c r="B4" s="12">
        <v>0.60460000000000003</v>
      </c>
      <c r="C4" s="12">
        <v>0.59189999999999998</v>
      </c>
      <c r="D4" s="12">
        <v>1.2699999999999999E-2</v>
      </c>
      <c r="E4" s="12" t="s">
        <v>550</v>
      </c>
    </row>
    <row r="5" spans="1:5" x14ac:dyDescent="0.25">
      <c r="A5" t="s">
        <v>551</v>
      </c>
      <c r="B5">
        <v>0.44990000000000002</v>
      </c>
      <c r="C5">
        <v>0.4506</v>
      </c>
      <c r="D5">
        <v>-6.9999999999999999E-4</v>
      </c>
      <c r="E5" t="s">
        <v>552</v>
      </c>
    </row>
    <row r="6" spans="1:5" x14ac:dyDescent="0.25">
      <c r="A6" s="12" t="s">
        <v>553</v>
      </c>
      <c r="B6" s="12">
        <v>0.17780000000000001</v>
      </c>
      <c r="C6" s="12">
        <v>0.18140000000000001</v>
      </c>
      <c r="D6" s="12">
        <v>-3.5999999999999999E-3</v>
      </c>
      <c r="E6" s="12" t="s">
        <v>554</v>
      </c>
    </row>
    <row r="7" spans="1:5" x14ac:dyDescent="0.25">
      <c r="A7" t="s">
        <v>195</v>
      </c>
      <c r="B7">
        <v>0.62860000000000005</v>
      </c>
      <c r="C7">
        <v>0.62880000000000003</v>
      </c>
      <c r="D7">
        <v>-2.0000000000000001E-4</v>
      </c>
      <c r="E7" t="s">
        <v>555</v>
      </c>
    </row>
    <row r="8" spans="1:5" x14ac:dyDescent="0.25">
      <c r="A8" t="s">
        <v>556</v>
      </c>
      <c r="B8">
        <v>0.62009999999999998</v>
      </c>
      <c r="C8">
        <v>0.62019999999999997</v>
      </c>
      <c r="D8">
        <v>-1E-4</v>
      </c>
      <c r="E8" t="s">
        <v>557</v>
      </c>
    </row>
    <row r="9" spans="1:5" x14ac:dyDescent="0.25">
      <c r="A9" s="12" t="s">
        <v>558</v>
      </c>
      <c r="B9" s="12">
        <v>0.63780000000000003</v>
      </c>
      <c r="C9" s="12">
        <v>0.63900000000000001</v>
      </c>
      <c r="D9" s="12">
        <v>-1.1000000000000001E-3</v>
      </c>
      <c r="E9" s="12" t="s">
        <v>559</v>
      </c>
    </row>
    <row r="11" spans="1:5" x14ac:dyDescent="0.25">
      <c r="A11" t="s">
        <v>560</v>
      </c>
    </row>
    <row r="12" spans="1:5" x14ac:dyDescent="0.25">
      <c r="A12" t="s">
        <v>561</v>
      </c>
    </row>
    <row r="13" spans="1:5" x14ac:dyDescent="0.25">
      <c r="A13" t="s">
        <v>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/>
  </sheetViews>
  <sheetFormatPr defaultRowHeight="15" x14ac:dyDescent="0.25"/>
  <cols>
    <col min="1" max="1" width="26" customWidth="1"/>
    <col min="2" max="6" width="14" customWidth="1"/>
  </cols>
  <sheetData>
    <row r="1" spans="1:6" x14ac:dyDescent="0.25">
      <c r="A1" s="17" t="s">
        <v>563</v>
      </c>
    </row>
    <row r="2" spans="1:6" ht="150" x14ac:dyDescent="0.25">
      <c r="A2" s="18" t="s">
        <v>564</v>
      </c>
    </row>
    <row r="4" spans="1:6" ht="30" x14ac:dyDescent="0.25">
      <c r="A4" s="19" t="s">
        <v>2</v>
      </c>
      <c r="B4" s="19" t="s">
        <v>210</v>
      </c>
      <c r="C4" s="19" t="s">
        <v>211</v>
      </c>
      <c r="D4" s="19" t="s">
        <v>212</v>
      </c>
      <c r="E4" s="19" t="s">
        <v>213</v>
      </c>
      <c r="F4" s="19" t="s">
        <v>214</v>
      </c>
    </row>
    <row r="5" spans="1:6" x14ac:dyDescent="0.25">
      <c r="A5" t="s">
        <v>10</v>
      </c>
      <c r="B5">
        <v>118.5929794372454</v>
      </c>
      <c r="C5">
        <v>0.95</v>
      </c>
      <c r="D5">
        <v>4.2797000000000001</v>
      </c>
      <c r="E5">
        <v>1.3716999999999999</v>
      </c>
    </row>
    <row r="6" spans="1:6" x14ac:dyDescent="0.25">
      <c r="A6" t="s">
        <v>216</v>
      </c>
      <c r="B6">
        <v>59.284278073074297</v>
      </c>
      <c r="C6">
        <v>0.93</v>
      </c>
      <c r="D6">
        <v>27.4026</v>
      </c>
      <c r="E6">
        <v>4.8231999999999999</v>
      </c>
    </row>
    <row r="7" spans="1:6" x14ac:dyDescent="0.25">
      <c r="A7" t="s">
        <v>217</v>
      </c>
      <c r="B7">
        <v>402.94722164151221</v>
      </c>
      <c r="E7">
        <v>2.0439600000000002</v>
      </c>
      <c r="F7">
        <v>1460.5758000000001</v>
      </c>
    </row>
    <row r="8" spans="1:6" x14ac:dyDescent="0.25">
      <c r="A8" t="s">
        <v>565</v>
      </c>
      <c r="B8">
        <v>39.1751</v>
      </c>
      <c r="C8">
        <v>0.9</v>
      </c>
      <c r="D8">
        <v>37.173900000000003</v>
      </c>
      <c r="F8">
        <v>134.31</v>
      </c>
    </row>
    <row r="9" spans="1:6" x14ac:dyDescent="0.25">
      <c r="A9" t="s">
        <v>566</v>
      </c>
      <c r="B9">
        <v>81.836299999999994</v>
      </c>
      <c r="C9">
        <v>0</v>
      </c>
      <c r="D9">
        <v>0.5</v>
      </c>
      <c r="F9">
        <v>1.29</v>
      </c>
    </row>
    <row r="10" spans="1:6" x14ac:dyDescent="0.25">
      <c r="A10" t="s">
        <v>567</v>
      </c>
      <c r="B10">
        <v>140.02600000000001</v>
      </c>
      <c r="C10">
        <v>0</v>
      </c>
      <c r="D10">
        <v>5.9516</v>
      </c>
      <c r="F10">
        <v>21.5</v>
      </c>
    </row>
    <row r="11" spans="1:6" x14ac:dyDescent="0.25">
      <c r="A11" t="s">
        <v>223</v>
      </c>
      <c r="B11">
        <v>16.564299999999999</v>
      </c>
      <c r="C11">
        <v>0.93</v>
      </c>
      <c r="D11">
        <v>27.4026</v>
      </c>
      <c r="F11">
        <v>358.691667</v>
      </c>
    </row>
    <row r="12" spans="1:6" x14ac:dyDescent="0.25">
      <c r="A12" t="s">
        <v>225</v>
      </c>
      <c r="B12">
        <v>61.357900000000001</v>
      </c>
      <c r="C12">
        <v>0.96</v>
      </c>
      <c r="D12">
        <v>7.4124999999999996</v>
      </c>
      <c r="F12">
        <v>944.77499999999998</v>
      </c>
    </row>
    <row r="14" spans="1:6" x14ac:dyDescent="0.25">
      <c r="A14" t="s">
        <v>568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/>
  </sheetViews>
  <sheetFormatPr defaultRowHeight="15" x14ac:dyDescent="0.25"/>
  <cols>
    <col min="1" max="1" width="22" customWidth="1"/>
    <col min="2" max="3" width="16" customWidth="1"/>
    <col min="4" max="4" width="14" customWidth="1"/>
    <col min="5" max="5" width="16" customWidth="1"/>
  </cols>
  <sheetData>
    <row r="1" spans="1:5" x14ac:dyDescent="0.25">
      <c r="A1" s="17" t="s">
        <v>0</v>
      </c>
    </row>
    <row r="2" spans="1:5" ht="345" x14ac:dyDescent="0.25">
      <c r="A2" s="18" t="s">
        <v>1</v>
      </c>
    </row>
    <row r="4" spans="1:5" x14ac:dyDescent="0.25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</row>
    <row r="5" spans="1:5" x14ac:dyDescent="0.25">
      <c r="A5" t="s">
        <v>7</v>
      </c>
      <c r="B5">
        <v>39.17510567909666</v>
      </c>
      <c r="C5">
        <v>3.917510567909666</v>
      </c>
      <c r="D5">
        <v>39.17510567909666</v>
      </c>
      <c r="E5">
        <v>35.257595111186987</v>
      </c>
    </row>
    <row r="6" spans="1:5" x14ac:dyDescent="0.25">
      <c r="A6" t="s">
        <v>8</v>
      </c>
      <c r="B6">
        <v>61.357921876529844</v>
      </c>
      <c r="C6">
        <v>19.634535000489549</v>
      </c>
      <c r="D6">
        <v>61.357921876529844</v>
      </c>
      <c r="E6">
        <v>55.222129688876848</v>
      </c>
    </row>
    <row r="7" spans="1:5" x14ac:dyDescent="0.25">
      <c r="A7" t="s">
        <v>9</v>
      </c>
      <c r="B7">
        <v>75.848577339465237</v>
      </c>
      <c r="C7">
        <v>37.924288669732618</v>
      </c>
      <c r="D7">
        <v>75.848577339465237</v>
      </c>
      <c r="E7">
        <v>68.263719605518716</v>
      </c>
    </row>
    <row r="8" spans="1:5" x14ac:dyDescent="0.25">
      <c r="A8" t="s">
        <v>10</v>
      </c>
      <c r="B8">
        <v>118.5929794372454</v>
      </c>
      <c r="C8">
        <v>30.83417465368381</v>
      </c>
      <c r="D8">
        <v>118.5929794372454</v>
      </c>
      <c r="E8">
        <v>106.7336814935209</v>
      </c>
    </row>
    <row r="9" spans="1:5" x14ac:dyDescent="0.25">
      <c r="A9" t="s">
        <v>11</v>
      </c>
      <c r="B9">
        <v>81.836308981287274</v>
      </c>
      <c r="C9">
        <v>0</v>
      </c>
      <c r="D9">
        <v>81.836308981287274</v>
      </c>
      <c r="E9">
        <v>0</v>
      </c>
    </row>
    <row r="10" spans="1:5" x14ac:dyDescent="0.25">
      <c r="A10" t="s">
        <v>12</v>
      </c>
      <c r="B10">
        <v>140.02603638865119</v>
      </c>
      <c r="C10">
        <v>0</v>
      </c>
      <c r="D10">
        <v>140.02603638865119</v>
      </c>
      <c r="E10">
        <v>0</v>
      </c>
    </row>
    <row r="11" spans="1:5" x14ac:dyDescent="0.25">
      <c r="A11" t="s">
        <v>13</v>
      </c>
      <c r="B11">
        <v>695.40140098523204</v>
      </c>
    </row>
    <row r="12" spans="1:5" x14ac:dyDescent="0.25">
      <c r="A12" t="s">
        <v>14</v>
      </c>
      <c r="B12">
        <v>2318.9344228198102</v>
      </c>
    </row>
    <row r="14" spans="1:5" x14ac:dyDescent="0.25">
      <c r="A14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2"/>
  <sheetViews>
    <sheetView workbookViewId="0"/>
  </sheetViews>
  <sheetFormatPr defaultRowHeight="15" x14ac:dyDescent="0.25"/>
  <sheetData>
    <row r="1" spans="1:6" x14ac:dyDescent="0.25">
      <c r="A1" s="17" t="s">
        <v>569</v>
      </c>
    </row>
    <row r="2" spans="1:6" x14ac:dyDescent="0.25">
      <c r="A2" s="17" t="s">
        <v>286</v>
      </c>
      <c r="B2" s="17" t="s">
        <v>287</v>
      </c>
      <c r="C2" s="17" t="s">
        <v>288</v>
      </c>
      <c r="D2" s="17" t="s">
        <v>289</v>
      </c>
      <c r="E2" s="17" t="s">
        <v>290</v>
      </c>
      <c r="F2" s="17" t="s">
        <v>291</v>
      </c>
    </row>
    <row r="3" spans="1:6" x14ac:dyDescent="0.25">
      <c r="A3" s="17" t="s">
        <v>292</v>
      </c>
    </row>
    <row r="4" spans="1:6" x14ac:dyDescent="0.25">
      <c r="A4" s="17" t="s">
        <v>293</v>
      </c>
      <c r="C4" s="17">
        <v>0.17860000000000001</v>
      </c>
      <c r="D4" t="s">
        <v>294</v>
      </c>
      <c r="F4" t="s">
        <v>295</v>
      </c>
    </row>
    <row r="5" spans="1:6" x14ac:dyDescent="0.25">
      <c r="B5" t="s">
        <v>277</v>
      </c>
      <c r="C5">
        <v>92.310508999999996</v>
      </c>
      <c r="D5" t="s">
        <v>21</v>
      </c>
      <c r="E5" t="s">
        <v>570</v>
      </c>
    </row>
    <row r="6" spans="1:6" x14ac:dyDescent="0.25">
      <c r="B6" t="s">
        <v>279</v>
      </c>
      <c r="C6">
        <v>424.52642100000003</v>
      </c>
      <c r="D6" t="s">
        <v>21</v>
      </c>
      <c r="E6" t="s">
        <v>571</v>
      </c>
    </row>
    <row r="7" spans="1:6" x14ac:dyDescent="0.25">
      <c r="A7" s="17" t="s">
        <v>298</v>
      </c>
      <c r="C7" s="17">
        <v>0.39219999999999999</v>
      </c>
      <c r="D7" t="s">
        <v>294</v>
      </c>
      <c r="F7" t="s">
        <v>299</v>
      </c>
    </row>
    <row r="8" spans="1:6" x14ac:dyDescent="0.25">
      <c r="B8" t="s">
        <v>300</v>
      </c>
    </row>
    <row r="9" spans="1:6" x14ac:dyDescent="0.25">
      <c r="A9" s="17" t="s">
        <v>301</v>
      </c>
      <c r="C9" s="17">
        <v>0.70040000000000002</v>
      </c>
      <c r="D9" t="s">
        <v>294</v>
      </c>
      <c r="F9" t="s">
        <v>302</v>
      </c>
    </row>
    <row r="10" spans="1:6" x14ac:dyDescent="0.25">
      <c r="B10" t="s">
        <v>303</v>
      </c>
    </row>
    <row r="11" spans="1:6" x14ac:dyDescent="0.25">
      <c r="A11" s="17" t="s">
        <v>304</v>
      </c>
      <c r="C11" s="17">
        <v>0.69589999999999996</v>
      </c>
      <c r="D11" t="s">
        <v>294</v>
      </c>
      <c r="F11" t="s">
        <v>305</v>
      </c>
    </row>
    <row r="12" spans="1:6" x14ac:dyDescent="0.25">
      <c r="B12" t="s">
        <v>306</v>
      </c>
      <c r="C12">
        <v>51800</v>
      </c>
      <c r="E12" t="s">
        <v>307</v>
      </c>
    </row>
    <row r="13" spans="1:6" x14ac:dyDescent="0.25">
      <c r="B13" t="s">
        <v>308</v>
      </c>
      <c r="C13">
        <v>22640</v>
      </c>
      <c r="E13" t="s">
        <v>309</v>
      </c>
    </row>
    <row r="14" spans="1:6" x14ac:dyDescent="0.25">
      <c r="A14" s="17" t="s">
        <v>310</v>
      </c>
      <c r="C14" s="17">
        <v>0.2334</v>
      </c>
      <c r="D14" t="s">
        <v>294</v>
      </c>
      <c r="F14" t="s">
        <v>311</v>
      </c>
    </row>
    <row r="15" spans="1:6" x14ac:dyDescent="0.25">
      <c r="B15" t="s">
        <v>312</v>
      </c>
      <c r="C15">
        <v>1.24</v>
      </c>
      <c r="D15" t="s">
        <v>313</v>
      </c>
      <c r="E15" t="s">
        <v>314</v>
      </c>
    </row>
    <row r="16" spans="1:6" x14ac:dyDescent="0.25">
      <c r="B16" t="s">
        <v>315</v>
      </c>
      <c r="C16">
        <v>3.0495000000000001</v>
      </c>
      <c r="D16" t="s">
        <v>313</v>
      </c>
      <c r="E16" t="s">
        <v>316</v>
      </c>
    </row>
    <row r="17" spans="1:6" x14ac:dyDescent="0.25">
      <c r="B17" t="s">
        <v>317</v>
      </c>
      <c r="C17">
        <v>0.44</v>
      </c>
      <c r="D17" t="s">
        <v>313</v>
      </c>
      <c r="E17" t="s">
        <v>318</v>
      </c>
    </row>
    <row r="18" spans="1:6" x14ac:dyDescent="0.25">
      <c r="B18" t="s">
        <v>319</v>
      </c>
      <c r="C18">
        <v>20.329999999999998</v>
      </c>
      <c r="D18" t="s">
        <v>313</v>
      </c>
      <c r="E18" t="s">
        <v>320</v>
      </c>
    </row>
    <row r="19" spans="1:6" x14ac:dyDescent="0.25">
      <c r="A19" s="17" t="s">
        <v>321</v>
      </c>
      <c r="C19" s="17">
        <v>0.88349999999999995</v>
      </c>
      <c r="D19" t="s">
        <v>294</v>
      </c>
      <c r="F19" t="s">
        <v>322</v>
      </c>
    </row>
    <row r="20" spans="1:6" x14ac:dyDescent="0.25">
      <c r="B20" t="s">
        <v>323</v>
      </c>
      <c r="C20">
        <v>0.95</v>
      </c>
    </row>
    <row r="21" spans="1:6" x14ac:dyDescent="0.25">
      <c r="B21" t="s">
        <v>324</v>
      </c>
      <c r="C21">
        <v>0.93</v>
      </c>
    </row>
    <row r="22" spans="1:6" x14ac:dyDescent="0.25">
      <c r="A22" s="17" t="s">
        <v>325</v>
      </c>
      <c r="C22" s="17">
        <v>0.81</v>
      </c>
      <c r="D22" t="s">
        <v>294</v>
      </c>
      <c r="F22" t="s">
        <v>326</v>
      </c>
    </row>
    <row r="23" spans="1:6" x14ac:dyDescent="0.25">
      <c r="B23" t="s">
        <v>327</v>
      </c>
      <c r="C23">
        <v>10</v>
      </c>
      <c r="D23" t="s">
        <v>328</v>
      </c>
      <c r="E23" t="s">
        <v>329</v>
      </c>
    </row>
    <row r="24" spans="1:6" x14ac:dyDescent="0.25">
      <c r="B24" t="s">
        <v>330</v>
      </c>
      <c r="C24">
        <v>5</v>
      </c>
      <c r="D24" t="s">
        <v>328</v>
      </c>
      <c r="E24" t="s">
        <v>331</v>
      </c>
    </row>
    <row r="25" spans="1:6" x14ac:dyDescent="0.25">
      <c r="B25" t="s">
        <v>332</v>
      </c>
      <c r="C25">
        <v>15</v>
      </c>
      <c r="D25" t="s">
        <v>328</v>
      </c>
      <c r="E25" t="s">
        <v>333</v>
      </c>
    </row>
    <row r="26" spans="1:6" x14ac:dyDescent="0.25">
      <c r="B26" t="s">
        <v>334</v>
      </c>
      <c r="C26">
        <v>606.30359999999996</v>
      </c>
      <c r="D26" t="s">
        <v>328</v>
      </c>
      <c r="E26" t="s">
        <v>335</v>
      </c>
    </row>
    <row r="27" spans="1:6" x14ac:dyDescent="0.25">
      <c r="B27" t="s">
        <v>336</v>
      </c>
      <c r="C27">
        <v>0.19</v>
      </c>
    </row>
    <row r="28" spans="1:6" x14ac:dyDescent="0.25">
      <c r="A28" s="17" t="s">
        <v>337</v>
      </c>
      <c r="F28" t="s">
        <v>338</v>
      </c>
    </row>
    <row r="29" spans="1:6" x14ac:dyDescent="0.25">
      <c r="B29" t="s">
        <v>339</v>
      </c>
      <c r="C29">
        <v>0.21</v>
      </c>
    </row>
    <row r="30" spans="1:6" x14ac:dyDescent="0.25">
      <c r="B30" t="s">
        <v>340</v>
      </c>
      <c r="C30">
        <v>0.23</v>
      </c>
    </row>
    <row r="31" spans="1:6" x14ac:dyDescent="0.25">
      <c r="B31" t="s">
        <v>341</v>
      </c>
      <c r="C31">
        <v>0.17</v>
      </c>
    </row>
    <row r="32" spans="1:6" x14ac:dyDescent="0.25">
      <c r="B32" t="s">
        <v>342</v>
      </c>
      <c r="C32">
        <v>0.18</v>
      </c>
    </row>
    <row r="33" spans="1:6" x14ac:dyDescent="0.25">
      <c r="B33" t="s">
        <v>343</v>
      </c>
      <c r="C33">
        <v>0.2</v>
      </c>
    </row>
    <row r="34" spans="1:6" x14ac:dyDescent="0.25">
      <c r="A34" s="17" t="s">
        <v>344</v>
      </c>
      <c r="C34" s="17">
        <v>0.57969999999999999</v>
      </c>
      <c r="D34" t="s">
        <v>294</v>
      </c>
    </row>
    <row r="36" spans="1:6" x14ac:dyDescent="0.25">
      <c r="A36" s="17" t="s">
        <v>345</v>
      </c>
    </row>
    <row r="37" spans="1:6" x14ac:dyDescent="0.25">
      <c r="A37" s="17" t="s">
        <v>346</v>
      </c>
      <c r="C37" s="17">
        <v>1</v>
      </c>
      <c r="D37" t="s">
        <v>294</v>
      </c>
      <c r="F37" t="s">
        <v>347</v>
      </c>
    </row>
    <row r="38" spans="1:6" x14ac:dyDescent="0.25">
      <c r="B38" t="s">
        <v>348</v>
      </c>
      <c r="C38">
        <v>35.771304999999998</v>
      </c>
      <c r="D38" t="s">
        <v>21</v>
      </c>
      <c r="E38" t="s">
        <v>349</v>
      </c>
    </row>
    <row r="39" spans="1:6" x14ac:dyDescent="0.25">
      <c r="B39" t="s">
        <v>350</v>
      </c>
      <c r="C39">
        <v>424.41250300000002</v>
      </c>
      <c r="D39" t="s">
        <v>21</v>
      </c>
      <c r="E39" t="s">
        <v>351</v>
      </c>
    </row>
    <row r="40" spans="1:6" x14ac:dyDescent="0.25">
      <c r="B40" t="s">
        <v>352</v>
      </c>
      <c r="C40">
        <v>606.30357600000002</v>
      </c>
      <c r="D40" t="s">
        <v>21</v>
      </c>
      <c r="E40" t="s">
        <v>353</v>
      </c>
    </row>
    <row r="41" spans="1:6" x14ac:dyDescent="0.25">
      <c r="A41" s="17" t="s">
        <v>354</v>
      </c>
      <c r="C41" s="17">
        <v>1.1900000000000001E-2</v>
      </c>
      <c r="D41" t="s">
        <v>294</v>
      </c>
      <c r="F41" t="s">
        <v>355</v>
      </c>
    </row>
    <row r="42" spans="1:6" x14ac:dyDescent="0.25">
      <c r="B42" t="s">
        <v>356</v>
      </c>
      <c r="C42">
        <v>12.126072000000001</v>
      </c>
      <c r="D42" t="s">
        <v>328</v>
      </c>
      <c r="E42" t="s">
        <v>357</v>
      </c>
    </row>
    <row r="43" spans="1:6" x14ac:dyDescent="0.25">
      <c r="B43" t="s">
        <v>358</v>
      </c>
      <c r="C43">
        <v>0</v>
      </c>
      <c r="D43" t="s">
        <v>359</v>
      </c>
      <c r="E43" t="s">
        <v>360</v>
      </c>
    </row>
    <row r="44" spans="1:6" x14ac:dyDescent="0.25">
      <c r="B44" t="s">
        <v>361</v>
      </c>
      <c r="C44">
        <v>0.1</v>
      </c>
      <c r="D44" t="s">
        <v>359</v>
      </c>
      <c r="E44" t="s">
        <v>362</v>
      </c>
    </row>
    <row r="45" spans="1:6" x14ac:dyDescent="0.25">
      <c r="B45" t="s">
        <v>363</v>
      </c>
      <c r="C45">
        <v>0</v>
      </c>
      <c r="D45" t="s">
        <v>359</v>
      </c>
      <c r="E45" t="s">
        <v>364</v>
      </c>
    </row>
    <row r="46" spans="1:6" x14ac:dyDescent="0.25">
      <c r="B46" t="s">
        <v>365</v>
      </c>
      <c r="C46">
        <v>0.1</v>
      </c>
      <c r="D46" t="s">
        <v>359</v>
      </c>
      <c r="E46" t="s">
        <v>366</v>
      </c>
    </row>
    <row r="47" spans="1:6" x14ac:dyDescent="0.25">
      <c r="B47" t="s">
        <v>367</v>
      </c>
      <c r="C47">
        <v>606.30357600000002</v>
      </c>
      <c r="D47" t="s">
        <v>328</v>
      </c>
      <c r="E47" t="s">
        <v>368</v>
      </c>
    </row>
    <row r="48" spans="1:6" x14ac:dyDescent="0.25">
      <c r="B48" t="s">
        <v>369</v>
      </c>
      <c r="C48">
        <v>402.94720000000001</v>
      </c>
      <c r="D48" t="s">
        <v>328</v>
      </c>
      <c r="E48" t="s">
        <v>370</v>
      </c>
    </row>
    <row r="49" spans="1:6" x14ac:dyDescent="0.25">
      <c r="A49" s="17" t="s">
        <v>371</v>
      </c>
      <c r="C49" s="17">
        <v>0.24460000000000001</v>
      </c>
      <c r="D49" t="s">
        <v>294</v>
      </c>
      <c r="F49" t="s">
        <v>372</v>
      </c>
    </row>
    <row r="50" spans="1:6" x14ac:dyDescent="0.25">
      <c r="B50" t="s">
        <v>373</v>
      </c>
      <c r="C50">
        <v>0.1</v>
      </c>
      <c r="D50" t="s">
        <v>359</v>
      </c>
      <c r="E50" t="s">
        <v>374</v>
      </c>
    </row>
    <row r="51" spans="1:6" x14ac:dyDescent="0.25">
      <c r="B51" t="s">
        <v>375</v>
      </c>
      <c r="C51">
        <v>0.4</v>
      </c>
      <c r="D51" t="s">
        <v>359</v>
      </c>
      <c r="E51" t="s">
        <v>376</v>
      </c>
    </row>
    <row r="52" spans="1:6" x14ac:dyDescent="0.25">
      <c r="B52" t="s">
        <v>377</v>
      </c>
      <c r="C52">
        <v>0.8</v>
      </c>
      <c r="D52" t="s">
        <v>359</v>
      </c>
      <c r="E52" t="s">
        <v>378</v>
      </c>
    </row>
    <row r="53" spans="1:6" x14ac:dyDescent="0.25">
      <c r="B53" t="s">
        <v>379</v>
      </c>
      <c r="C53">
        <v>5</v>
      </c>
      <c r="D53" t="s">
        <v>380</v>
      </c>
      <c r="E53" t="s">
        <v>381</v>
      </c>
    </row>
    <row r="54" spans="1:6" x14ac:dyDescent="0.25">
      <c r="B54" t="s">
        <v>382</v>
      </c>
      <c r="C54">
        <v>5</v>
      </c>
      <c r="D54" t="s">
        <v>380</v>
      </c>
      <c r="E54" t="s">
        <v>383</v>
      </c>
    </row>
    <row r="55" spans="1:6" x14ac:dyDescent="0.25">
      <c r="B55" t="s">
        <v>384</v>
      </c>
      <c r="C55">
        <v>5</v>
      </c>
      <c r="D55" t="s">
        <v>380</v>
      </c>
      <c r="E55" t="s">
        <v>385</v>
      </c>
    </row>
    <row r="56" spans="1:6" x14ac:dyDescent="0.25">
      <c r="B56" t="s">
        <v>386</v>
      </c>
      <c r="C56">
        <v>20.008018</v>
      </c>
      <c r="D56" t="s">
        <v>328</v>
      </c>
      <c r="E56" t="s">
        <v>387</v>
      </c>
    </row>
    <row r="57" spans="1:6" x14ac:dyDescent="0.25">
      <c r="B57" t="s">
        <v>388</v>
      </c>
      <c r="C57">
        <v>20.008018</v>
      </c>
      <c r="D57" t="s">
        <v>328</v>
      </c>
      <c r="E57" t="s">
        <v>387</v>
      </c>
    </row>
    <row r="58" spans="1:6" x14ac:dyDescent="0.25">
      <c r="B58" t="s">
        <v>389</v>
      </c>
      <c r="C58">
        <v>20.008018</v>
      </c>
      <c r="D58" t="s">
        <v>328</v>
      </c>
      <c r="E58" t="s">
        <v>387</v>
      </c>
    </row>
    <row r="59" spans="1:6" x14ac:dyDescent="0.25">
      <c r="B59" t="s">
        <v>390</v>
      </c>
      <c r="C59">
        <v>606.30357600000002</v>
      </c>
      <c r="D59" t="s">
        <v>328</v>
      </c>
      <c r="E59" t="s">
        <v>391</v>
      </c>
    </row>
    <row r="60" spans="1:6" x14ac:dyDescent="0.25">
      <c r="A60" s="17" t="s">
        <v>392</v>
      </c>
      <c r="C60" s="17">
        <v>1</v>
      </c>
      <c r="D60" t="s">
        <v>294</v>
      </c>
      <c r="F60" t="s">
        <v>393</v>
      </c>
    </row>
    <row r="61" spans="1:6" x14ac:dyDescent="0.25">
      <c r="B61" t="s">
        <v>394</v>
      </c>
      <c r="C61">
        <v>0.59813700000000003</v>
      </c>
      <c r="D61" t="s">
        <v>359</v>
      </c>
      <c r="E61" t="s">
        <v>395</v>
      </c>
    </row>
    <row r="62" spans="1:6" x14ac:dyDescent="0.25">
      <c r="B62" t="s">
        <v>396</v>
      </c>
      <c r="C62">
        <v>1</v>
      </c>
      <c r="D62" t="s">
        <v>397</v>
      </c>
      <c r="E62" t="s">
        <v>398</v>
      </c>
    </row>
    <row r="63" spans="1:6" x14ac:dyDescent="0.25">
      <c r="B63" t="s">
        <v>399</v>
      </c>
      <c r="C63">
        <v>1</v>
      </c>
      <c r="D63" t="s">
        <v>397</v>
      </c>
      <c r="E63" t="s">
        <v>400</v>
      </c>
    </row>
    <row r="64" spans="1:6" x14ac:dyDescent="0.25">
      <c r="B64" t="s">
        <v>401</v>
      </c>
      <c r="C64">
        <v>5</v>
      </c>
      <c r="D64" t="s">
        <v>397</v>
      </c>
      <c r="E64" t="s">
        <v>402</v>
      </c>
    </row>
    <row r="65" spans="1:6" x14ac:dyDescent="0.25">
      <c r="B65" t="s">
        <v>403</v>
      </c>
      <c r="C65">
        <v>1</v>
      </c>
      <c r="D65" t="s">
        <v>397</v>
      </c>
      <c r="E65" t="s">
        <v>404</v>
      </c>
    </row>
    <row r="66" spans="1:6" x14ac:dyDescent="0.25">
      <c r="B66" t="s">
        <v>405</v>
      </c>
      <c r="C66">
        <v>5</v>
      </c>
      <c r="D66" t="s">
        <v>397</v>
      </c>
      <c r="E66" t="s">
        <v>406</v>
      </c>
    </row>
    <row r="67" spans="1:6" x14ac:dyDescent="0.25">
      <c r="B67" t="s">
        <v>407</v>
      </c>
      <c r="C67">
        <v>5</v>
      </c>
      <c r="D67" t="s">
        <v>397</v>
      </c>
      <c r="E67" t="s">
        <v>408</v>
      </c>
    </row>
    <row r="68" spans="1:6" x14ac:dyDescent="0.25">
      <c r="B68" t="s">
        <v>409</v>
      </c>
      <c r="C68">
        <v>5</v>
      </c>
      <c r="D68" t="s">
        <v>397</v>
      </c>
      <c r="E68" t="s">
        <v>410</v>
      </c>
    </row>
    <row r="69" spans="1:6" x14ac:dyDescent="0.25">
      <c r="B69" t="s">
        <v>411</v>
      </c>
      <c r="C69">
        <v>5</v>
      </c>
      <c r="D69" t="s">
        <v>397</v>
      </c>
      <c r="E69" t="s">
        <v>412</v>
      </c>
    </row>
    <row r="70" spans="1:6" x14ac:dyDescent="0.25">
      <c r="B70" t="s">
        <v>413</v>
      </c>
      <c r="C70">
        <v>1</v>
      </c>
      <c r="D70" t="s">
        <v>397</v>
      </c>
      <c r="E70" t="s">
        <v>414</v>
      </c>
    </row>
    <row r="71" spans="1:6" x14ac:dyDescent="0.25">
      <c r="A71" s="17" t="s">
        <v>415</v>
      </c>
      <c r="F71" t="s">
        <v>338</v>
      </c>
    </row>
    <row r="72" spans="1:6" x14ac:dyDescent="0.25">
      <c r="B72" t="s">
        <v>416</v>
      </c>
      <c r="C72">
        <v>0.27</v>
      </c>
    </row>
    <row r="73" spans="1:6" x14ac:dyDescent="0.25">
      <c r="B73" t="s">
        <v>417</v>
      </c>
      <c r="C73">
        <v>0.21</v>
      </c>
    </row>
    <row r="74" spans="1:6" x14ac:dyDescent="0.25">
      <c r="B74" t="s">
        <v>418</v>
      </c>
      <c r="C74">
        <v>0.23</v>
      </c>
    </row>
    <row r="75" spans="1:6" x14ac:dyDescent="0.25">
      <c r="B75" t="s">
        <v>419</v>
      </c>
      <c r="C75">
        <v>0.28999999999999998</v>
      </c>
    </row>
    <row r="76" spans="1:6" x14ac:dyDescent="0.25">
      <c r="A76" s="17" t="s">
        <v>420</v>
      </c>
      <c r="C76" s="17">
        <v>0.61880000000000002</v>
      </c>
      <c r="D76" t="s">
        <v>294</v>
      </c>
    </row>
    <row r="78" spans="1:6" x14ac:dyDescent="0.25">
      <c r="A78" s="17" t="s">
        <v>421</v>
      </c>
    </row>
    <row r="79" spans="1:6" x14ac:dyDescent="0.25">
      <c r="A79" s="17" t="s">
        <v>422</v>
      </c>
      <c r="C79" s="17">
        <v>0.19800000000000001</v>
      </c>
      <c r="D79" t="s">
        <v>294</v>
      </c>
      <c r="F79" t="s">
        <v>423</v>
      </c>
    </row>
    <row r="80" spans="1:6" x14ac:dyDescent="0.25">
      <c r="B80" t="s">
        <v>424</v>
      </c>
      <c r="C80">
        <v>0.31041600000000003</v>
      </c>
      <c r="D80" t="s">
        <v>359</v>
      </c>
      <c r="E80" t="s">
        <v>425</v>
      </c>
    </row>
    <row r="81" spans="1:6" x14ac:dyDescent="0.25">
      <c r="B81" t="s">
        <v>426</v>
      </c>
      <c r="C81">
        <v>0.62083200000000005</v>
      </c>
      <c r="D81" t="s">
        <v>359</v>
      </c>
      <c r="E81" t="s">
        <v>427</v>
      </c>
    </row>
    <row r="82" spans="1:6" x14ac:dyDescent="0.25">
      <c r="B82" t="s">
        <v>428</v>
      </c>
      <c r="C82">
        <v>2.0549999999999999E-2</v>
      </c>
      <c r="D82" t="s">
        <v>359</v>
      </c>
      <c r="E82" t="s">
        <v>429</v>
      </c>
    </row>
    <row r="83" spans="1:6" x14ac:dyDescent="0.25">
      <c r="B83" t="s">
        <v>430</v>
      </c>
      <c r="C83">
        <v>4.8203000000000003E-2</v>
      </c>
      <c r="D83" t="s">
        <v>359</v>
      </c>
      <c r="E83" t="s">
        <v>431</v>
      </c>
    </row>
    <row r="84" spans="1:6" x14ac:dyDescent="0.25">
      <c r="B84" t="s">
        <v>432</v>
      </c>
      <c r="C84">
        <v>0.2</v>
      </c>
      <c r="D84" t="s">
        <v>433</v>
      </c>
      <c r="E84" t="s">
        <v>434</v>
      </c>
    </row>
    <row r="85" spans="1:6" x14ac:dyDescent="0.25">
      <c r="B85" t="s">
        <v>435</v>
      </c>
      <c r="C85">
        <v>0.2</v>
      </c>
      <c r="D85" t="s">
        <v>433</v>
      </c>
      <c r="E85" t="s">
        <v>436</v>
      </c>
    </row>
    <row r="86" spans="1:6" x14ac:dyDescent="0.25">
      <c r="B86" t="s">
        <v>437</v>
      </c>
      <c r="C86">
        <v>0.105</v>
      </c>
      <c r="D86" t="s">
        <v>433</v>
      </c>
      <c r="E86" t="s">
        <v>438</v>
      </c>
    </row>
    <row r="87" spans="1:6" x14ac:dyDescent="0.25">
      <c r="B87" t="s">
        <v>439</v>
      </c>
      <c r="C87">
        <v>0.2</v>
      </c>
      <c r="D87" t="s">
        <v>433</v>
      </c>
      <c r="E87" t="s">
        <v>440</v>
      </c>
    </row>
    <row r="88" spans="1:6" x14ac:dyDescent="0.25">
      <c r="A88" s="17" t="s">
        <v>441</v>
      </c>
      <c r="C88" s="17">
        <v>0.50280000000000002</v>
      </c>
      <c r="D88" t="s">
        <v>294</v>
      </c>
      <c r="F88" t="s">
        <v>442</v>
      </c>
    </row>
    <row r="89" spans="1:6" x14ac:dyDescent="0.25">
      <c r="B89" t="s">
        <v>443</v>
      </c>
      <c r="C89">
        <v>0.15</v>
      </c>
      <c r="D89" t="s">
        <v>359</v>
      </c>
      <c r="E89" t="s">
        <v>444</v>
      </c>
    </row>
    <row r="90" spans="1:6" x14ac:dyDescent="0.25">
      <c r="B90" t="s">
        <v>445</v>
      </c>
      <c r="C90">
        <v>0.15</v>
      </c>
      <c r="D90" t="s">
        <v>359</v>
      </c>
      <c r="E90" t="s">
        <v>446</v>
      </c>
    </row>
    <row r="91" spans="1:6" x14ac:dyDescent="0.25">
      <c r="B91" t="s">
        <v>447</v>
      </c>
      <c r="C91">
        <v>0.35</v>
      </c>
      <c r="D91" t="s">
        <v>359</v>
      </c>
      <c r="E91" t="s">
        <v>448</v>
      </c>
    </row>
    <row r="92" spans="1:6" x14ac:dyDescent="0.25">
      <c r="B92" t="s">
        <v>449</v>
      </c>
      <c r="C92">
        <v>0.35</v>
      </c>
      <c r="D92" t="s">
        <v>359</v>
      </c>
      <c r="E92" t="s">
        <v>450</v>
      </c>
    </row>
    <row r="93" spans="1:6" x14ac:dyDescent="0.25">
      <c r="B93" t="s">
        <v>451</v>
      </c>
      <c r="C93">
        <v>-3.6999999999999998E-2</v>
      </c>
      <c r="D93" t="s">
        <v>452</v>
      </c>
      <c r="E93" t="s">
        <v>453</v>
      </c>
    </row>
    <row r="94" spans="1:6" x14ac:dyDescent="0.25">
      <c r="B94" t="s">
        <v>454</v>
      </c>
      <c r="C94">
        <v>-3.5999999999999997E-2</v>
      </c>
      <c r="D94" t="s">
        <v>452</v>
      </c>
      <c r="E94" t="s">
        <v>455</v>
      </c>
    </row>
    <row r="95" spans="1:6" x14ac:dyDescent="0.25">
      <c r="B95" t="s">
        <v>456</v>
      </c>
      <c r="C95">
        <v>0</v>
      </c>
      <c r="D95" t="s">
        <v>452</v>
      </c>
      <c r="E95" t="s">
        <v>457</v>
      </c>
    </row>
    <row r="96" spans="1:6" x14ac:dyDescent="0.25">
      <c r="B96" t="s">
        <v>458</v>
      </c>
      <c r="C96">
        <v>0</v>
      </c>
      <c r="D96" t="s">
        <v>452</v>
      </c>
      <c r="E96" t="s">
        <v>459</v>
      </c>
    </row>
    <row r="97" spans="1:6" x14ac:dyDescent="0.25">
      <c r="A97" s="17" t="s">
        <v>460</v>
      </c>
      <c r="C97" s="17">
        <v>0.9728</v>
      </c>
      <c r="D97" t="s">
        <v>294</v>
      </c>
      <c r="F97" t="s">
        <v>461</v>
      </c>
    </row>
    <row r="98" spans="1:6" x14ac:dyDescent="0.25">
      <c r="B98" t="s">
        <v>462</v>
      </c>
      <c r="C98">
        <v>0</v>
      </c>
      <c r="D98" t="s">
        <v>433</v>
      </c>
      <c r="E98" t="s">
        <v>463</v>
      </c>
    </row>
    <row r="99" spans="1:6" x14ac:dyDescent="0.25">
      <c r="B99" t="s">
        <v>464</v>
      </c>
      <c r="C99">
        <v>39232.936699999998</v>
      </c>
      <c r="D99" t="s">
        <v>433</v>
      </c>
      <c r="E99" t="s">
        <v>465</v>
      </c>
    </row>
    <row r="100" spans="1:6" x14ac:dyDescent="0.25">
      <c r="B100" t="s">
        <v>466</v>
      </c>
      <c r="C100">
        <v>18285.415700000001</v>
      </c>
      <c r="D100" t="s">
        <v>433</v>
      </c>
      <c r="E100" t="s">
        <v>467</v>
      </c>
    </row>
    <row r="101" spans="1:6" x14ac:dyDescent="0.25">
      <c r="B101" t="s">
        <v>468</v>
      </c>
      <c r="C101">
        <v>1269.2475999999999</v>
      </c>
      <c r="D101" t="s">
        <v>433</v>
      </c>
      <c r="E101" t="s">
        <v>469</v>
      </c>
    </row>
    <row r="102" spans="1:6" x14ac:dyDescent="0.25">
      <c r="B102" t="s">
        <v>470</v>
      </c>
      <c r="C102">
        <v>0</v>
      </c>
      <c r="D102" t="s">
        <v>433</v>
      </c>
      <c r="E102" t="s">
        <v>471</v>
      </c>
    </row>
    <row r="103" spans="1:6" x14ac:dyDescent="0.25">
      <c r="B103" t="s">
        <v>472</v>
      </c>
      <c r="C103">
        <v>1269.2475999999999</v>
      </c>
      <c r="D103" t="s">
        <v>433</v>
      </c>
      <c r="E103" t="s">
        <v>473</v>
      </c>
    </row>
    <row r="104" spans="1:6" x14ac:dyDescent="0.25">
      <c r="B104" t="s">
        <v>474</v>
      </c>
      <c r="C104">
        <v>1430.1819</v>
      </c>
      <c r="D104" t="s">
        <v>433</v>
      </c>
      <c r="E104" t="s">
        <v>475</v>
      </c>
    </row>
    <row r="105" spans="1:6" x14ac:dyDescent="0.25">
      <c r="B105" t="s">
        <v>476</v>
      </c>
      <c r="C105">
        <v>1547.0552</v>
      </c>
      <c r="D105" t="s">
        <v>433</v>
      </c>
      <c r="E105" t="s">
        <v>477</v>
      </c>
    </row>
    <row r="106" spans="1:6" x14ac:dyDescent="0.25">
      <c r="B106" t="s">
        <v>478</v>
      </c>
      <c r="C106">
        <v>0</v>
      </c>
      <c r="D106" t="s">
        <v>433</v>
      </c>
      <c r="E106" t="s">
        <v>479</v>
      </c>
    </row>
    <row r="107" spans="1:6" x14ac:dyDescent="0.25">
      <c r="B107" t="s">
        <v>480</v>
      </c>
      <c r="C107">
        <v>2977.2370999999998</v>
      </c>
      <c r="D107" t="s">
        <v>433</v>
      </c>
      <c r="E107" t="s">
        <v>481</v>
      </c>
    </row>
    <row r="108" spans="1:6" x14ac:dyDescent="0.25">
      <c r="B108" t="s">
        <v>482</v>
      </c>
      <c r="C108">
        <v>0.57999999999999996</v>
      </c>
      <c r="D108" t="s">
        <v>359</v>
      </c>
      <c r="E108" t="s">
        <v>483</v>
      </c>
    </row>
    <row r="109" spans="1:6" x14ac:dyDescent="0.25">
      <c r="B109" t="s">
        <v>484</v>
      </c>
      <c r="C109">
        <v>0.59813700000000003</v>
      </c>
      <c r="D109" t="s">
        <v>359</v>
      </c>
      <c r="E109" t="s">
        <v>485</v>
      </c>
    </row>
    <row r="110" spans="1:6" x14ac:dyDescent="0.25">
      <c r="B110" t="s">
        <v>486</v>
      </c>
      <c r="C110">
        <v>0.1</v>
      </c>
      <c r="D110" t="s">
        <v>359</v>
      </c>
      <c r="E110" t="s">
        <v>487</v>
      </c>
    </row>
    <row r="111" spans="1:6" x14ac:dyDescent="0.25">
      <c r="B111" t="s">
        <v>488</v>
      </c>
      <c r="C111">
        <v>5</v>
      </c>
      <c r="D111" t="s">
        <v>380</v>
      </c>
      <c r="E111" t="s">
        <v>489</v>
      </c>
    </row>
    <row r="112" spans="1:6" x14ac:dyDescent="0.25">
      <c r="B112" t="s">
        <v>490</v>
      </c>
      <c r="C112">
        <v>12</v>
      </c>
      <c r="D112" t="s">
        <v>380</v>
      </c>
      <c r="E112" t="s">
        <v>491</v>
      </c>
    </row>
    <row r="113" spans="1:6" x14ac:dyDescent="0.25">
      <c r="A113" s="17" t="s">
        <v>492</v>
      </c>
      <c r="C113" s="17">
        <v>0.9738</v>
      </c>
      <c r="D113" t="s">
        <v>294</v>
      </c>
      <c r="F113" t="s">
        <v>493</v>
      </c>
    </row>
    <row r="114" spans="1:6" x14ac:dyDescent="0.25">
      <c r="B114" t="s">
        <v>494</v>
      </c>
      <c r="C114">
        <v>15877.44</v>
      </c>
      <c r="D114" t="s">
        <v>495</v>
      </c>
      <c r="E114" t="s">
        <v>496</v>
      </c>
    </row>
    <row r="115" spans="1:6" x14ac:dyDescent="0.25">
      <c r="B115" t="s">
        <v>497</v>
      </c>
      <c r="C115">
        <v>2599.8147370000002</v>
      </c>
      <c r="D115" t="s">
        <v>495</v>
      </c>
      <c r="E115" t="s">
        <v>498</v>
      </c>
    </row>
    <row r="116" spans="1:6" x14ac:dyDescent="0.25">
      <c r="B116" t="s">
        <v>499</v>
      </c>
      <c r="C116">
        <v>0.2</v>
      </c>
      <c r="D116" t="s">
        <v>500</v>
      </c>
      <c r="E116" t="s">
        <v>501</v>
      </c>
    </row>
    <row r="117" spans="1:6" x14ac:dyDescent="0.25">
      <c r="B117" t="s">
        <v>502</v>
      </c>
      <c r="C117">
        <v>12</v>
      </c>
      <c r="D117" t="s">
        <v>380</v>
      </c>
      <c r="E117" t="s">
        <v>503</v>
      </c>
    </row>
    <row r="118" spans="1:6" x14ac:dyDescent="0.25">
      <c r="B118" t="s">
        <v>504</v>
      </c>
      <c r="C118">
        <v>7</v>
      </c>
      <c r="D118" t="s">
        <v>380</v>
      </c>
      <c r="E118" t="s">
        <v>505</v>
      </c>
    </row>
    <row r="119" spans="1:6" x14ac:dyDescent="0.25">
      <c r="B119" t="s">
        <v>506</v>
      </c>
      <c r="C119">
        <v>1</v>
      </c>
      <c r="D119" t="s">
        <v>359</v>
      </c>
      <c r="E119" t="s">
        <v>507</v>
      </c>
    </row>
    <row r="120" spans="1:6" x14ac:dyDescent="0.25">
      <c r="B120" t="s">
        <v>508</v>
      </c>
      <c r="C120">
        <v>0.1</v>
      </c>
      <c r="D120" t="s">
        <v>359</v>
      </c>
      <c r="E120" t="s">
        <v>509</v>
      </c>
    </row>
    <row r="121" spans="1:6" x14ac:dyDescent="0.25">
      <c r="B121" t="s">
        <v>510</v>
      </c>
      <c r="C121">
        <v>0.8</v>
      </c>
      <c r="D121" t="s">
        <v>452</v>
      </c>
      <c r="E121" t="s">
        <v>511</v>
      </c>
    </row>
    <row r="122" spans="1:6" x14ac:dyDescent="0.25">
      <c r="B122" t="s">
        <v>512</v>
      </c>
      <c r="C122">
        <v>0.5</v>
      </c>
      <c r="D122" t="s">
        <v>452</v>
      </c>
      <c r="E122" t="s">
        <v>513</v>
      </c>
    </row>
    <row r="123" spans="1:6" x14ac:dyDescent="0.25">
      <c r="B123" t="s">
        <v>514</v>
      </c>
      <c r="C123">
        <v>57518.352400000003</v>
      </c>
      <c r="D123" t="s">
        <v>495</v>
      </c>
      <c r="E123" t="s">
        <v>515</v>
      </c>
    </row>
    <row r="124" spans="1:6" x14ac:dyDescent="0.25">
      <c r="B124" t="s">
        <v>516</v>
      </c>
      <c r="C124">
        <v>1269.2475999999999</v>
      </c>
      <c r="D124" t="s">
        <v>495</v>
      </c>
      <c r="E124" t="s">
        <v>517</v>
      </c>
    </row>
    <row r="125" spans="1:6" x14ac:dyDescent="0.25">
      <c r="B125" t="s">
        <v>518</v>
      </c>
      <c r="C125">
        <v>0.55000000000000004</v>
      </c>
      <c r="D125" t="s">
        <v>495</v>
      </c>
      <c r="E125" t="s">
        <v>519</v>
      </c>
    </row>
    <row r="126" spans="1:6" x14ac:dyDescent="0.25">
      <c r="B126" t="s">
        <v>520</v>
      </c>
      <c r="C126">
        <v>0.35</v>
      </c>
      <c r="D126" t="s">
        <v>495</v>
      </c>
      <c r="E126" t="s">
        <v>521</v>
      </c>
    </row>
    <row r="127" spans="1:6" x14ac:dyDescent="0.25">
      <c r="B127" t="s">
        <v>522</v>
      </c>
      <c r="C127">
        <v>1</v>
      </c>
      <c r="D127" t="s">
        <v>495</v>
      </c>
      <c r="E127" t="s">
        <v>523</v>
      </c>
    </row>
    <row r="128" spans="1:6" x14ac:dyDescent="0.25">
      <c r="B128" t="s">
        <v>524</v>
      </c>
      <c r="C128">
        <v>0.95</v>
      </c>
      <c r="D128" t="s">
        <v>359</v>
      </c>
      <c r="E128" t="s">
        <v>525</v>
      </c>
    </row>
    <row r="129" spans="1:6" x14ac:dyDescent="0.25">
      <c r="B129" t="s">
        <v>526</v>
      </c>
      <c r="C129">
        <v>2.71</v>
      </c>
      <c r="D129" t="s">
        <v>359</v>
      </c>
      <c r="E129" t="s">
        <v>527</v>
      </c>
    </row>
    <row r="130" spans="1:6" x14ac:dyDescent="0.25">
      <c r="B130" t="s">
        <v>528</v>
      </c>
      <c r="C130">
        <v>0.88</v>
      </c>
      <c r="D130" t="s">
        <v>359</v>
      </c>
      <c r="E130" t="s">
        <v>529</v>
      </c>
    </row>
    <row r="131" spans="1:6" x14ac:dyDescent="0.25">
      <c r="B131" t="s">
        <v>530</v>
      </c>
      <c r="C131">
        <v>2.5099999999999998</v>
      </c>
      <c r="D131" t="s">
        <v>452</v>
      </c>
      <c r="E131" t="s">
        <v>531</v>
      </c>
    </row>
    <row r="132" spans="1:6" x14ac:dyDescent="0.25">
      <c r="A132" s="17" t="s">
        <v>532</v>
      </c>
      <c r="F132" t="s">
        <v>338</v>
      </c>
    </row>
    <row r="133" spans="1:6" x14ac:dyDescent="0.25">
      <c r="B133" t="s">
        <v>533</v>
      </c>
      <c r="C133">
        <v>0.27</v>
      </c>
    </row>
    <row r="134" spans="1:6" x14ac:dyDescent="0.25">
      <c r="B134" t="s">
        <v>534</v>
      </c>
      <c r="C134">
        <v>0.24</v>
      </c>
    </row>
    <row r="135" spans="1:6" x14ac:dyDescent="0.25">
      <c r="B135" t="s">
        <v>535</v>
      </c>
      <c r="C135">
        <v>0.23</v>
      </c>
    </row>
    <row r="136" spans="1:6" x14ac:dyDescent="0.25">
      <c r="B136" t="s">
        <v>536</v>
      </c>
      <c r="C136">
        <v>0.26</v>
      </c>
    </row>
    <row r="137" spans="1:6" x14ac:dyDescent="0.25">
      <c r="A137" s="17" t="s">
        <v>537</v>
      </c>
      <c r="C137" s="17">
        <v>0.65110000000000001</v>
      </c>
      <c r="D137" t="s">
        <v>294</v>
      </c>
    </row>
    <row r="139" spans="1:6" x14ac:dyDescent="0.25">
      <c r="A139" s="17" t="s">
        <v>572</v>
      </c>
    </row>
    <row r="140" spans="1:6" x14ac:dyDescent="0.25">
      <c r="A140" t="s">
        <v>539</v>
      </c>
      <c r="C140" s="17">
        <v>0.57969999999999999</v>
      </c>
      <c r="D140" t="s">
        <v>294</v>
      </c>
    </row>
    <row r="141" spans="1:6" x14ac:dyDescent="0.25">
      <c r="A141" t="s">
        <v>540</v>
      </c>
      <c r="C141" s="17">
        <v>0.61880000000000002</v>
      </c>
      <c r="D141" t="s">
        <v>294</v>
      </c>
    </row>
    <row r="142" spans="1:6" x14ac:dyDescent="0.25">
      <c r="A142" t="s">
        <v>541</v>
      </c>
      <c r="C142" s="17">
        <v>0.65110000000000001</v>
      </c>
      <c r="D142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ECPI_indicator_corrected</vt:lpstr>
      <vt:lpstr>ECPI_indicator</vt:lpstr>
      <vt:lpstr>CEI_inputs</vt:lpstr>
      <vt:lpstr>PCI_inputs</vt:lpstr>
      <vt:lpstr>CI_inputs</vt:lpstr>
      <vt:lpstr>MRE_indicator</vt:lpstr>
      <vt:lpstr>Hydro_vs_Solid</vt:lpstr>
      <vt:lpstr>CI_solid</vt:lpstr>
      <vt:lpstr>ECPI_solid</vt:lpstr>
      <vt:lpstr>MRE_indicator_solid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Srinivasan</cp:lastModifiedBy>
  <dcterms:created xsi:type="dcterms:W3CDTF">2026-06-17T20:05:15Z</dcterms:created>
  <dcterms:modified xsi:type="dcterms:W3CDTF">2026-06-21T20:03:27Z</dcterms:modified>
</cp:coreProperties>
</file>